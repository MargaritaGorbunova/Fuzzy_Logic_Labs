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 Book\Desktop\НЕЧЕТКАЯ_ЛОГИКА\"/>
    </mc:Choice>
  </mc:AlternateContent>
  <xr:revisionPtr revIDLastSave="0" documentId="13_ncr:1_{E5B2A479-F53B-41AB-A4F8-AFA828D8CC08}" xr6:coauthVersionLast="47" xr6:coauthVersionMax="47" xr10:uidLastSave="{00000000-0000-0000-0000-000000000000}"/>
  <bookViews>
    <workbookView xWindow="-7005" yWindow="3855" windowWidth="14115" windowHeight="11475" xr2:uid="{C1324F55-DC88-4EFA-993C-4C03A1447E88}"/>
  </bookViews>
  <sheets>
    <sheet name="Лист1" sheetId="1" r:id="rId1"/>
    <sheet name="Лист2" sheetId="2" r:id="rId2"/>
  </sheets>
  <definedNames>
    <definedName name="solver_adj" localSheetId="0" hidden="1">Лист1!$U$73:$U$75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Лист1!$R$73:$R$76</definedName>
    <definedName name="solver_lhs2" localSheetId="0" hidden="1">Лист1!$R$73:$R$76</definedName>
    <definedName name="solver_lhs3" localSheetId="0" hidden="1">Лист1!$U$74</definedName>
    <definedName name="solver_lhs4" localSheetId="0" hidden="1">Лист1!$U$75</definedName>
    <definedName name="solver_lhs5" localSheetId="0" hidden="1">Лист1!$Y$57:$Y$60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Лист1!$S$77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3</definedName>
    <definedName name="solver_rhs1" localSheetId="0" hidden="1">1</definedName>
    <definedName name="solver_rhs2" localSheetId="0" hidden="1">0</definedName>
    <definedName name="solver_rhs3" localSheetId="0" hidden="1">Лист1!$P$73</definedName>
    <definedName name="solver_rhs4" localSheetId="0" hidden="1">Лист1!$P$76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1" i="1" l="1"/>
  <c r="R45" i="1"/>
  <c r="AM41" i="1"/>
  <c r="AN40" i="1"/>
  <c r="AM40" i="1"/>
  <c r="AN39" i="1"/>
  <c r="AM39" i="1"/>
  <c r="AM38" i="1"/>
  <c r="AK32" i="1"/>
  <c r="AK31" i="1"/>
  <c r="AK41" i="1"/>
  <c r="AL40" i="1"/>
  <c r="AK40" i="1"/>
  <c r="AK39" i="1"/>
  <c r="AK38" i="1"/>
  <c r="AJ31" i="1"/>
  <c r="AI41" i="1"/>
  <c r="AI40" i="1"/>
  <c r="AJ40" i="1"/>
  <c r="AJ39" i="1"/>
  <c r="AI39" i="1"/>
  <c r="AI38" i="1"/>
  <c r="AI32" i="1"/>
  <c r="AI31" i="1"/>
  <c r="P79" i="1"/>
  <c r="R74" i="1"/>
  <c r="T74" i="1" s="1"/>
  <c r="R75" i="1"/>
  <c r="T75" i="1" s="1"/>
  <c r="R76" i="1"/>
  <c r="T76" i="1" s="1"/>
  <c r="R73" i="1"/>
  <c r="T73" i="1" s="1"/>
  <c r="R57" i="1"/>
  <c r="Y24" i="1"/>
  <c r="W31" i="1"/>
  <c r="W32" i="1"/>
  <c r="Y25" i="1"/>
  <c r="Y26" i="1"/>
  <c r="Y27" i="1"/>
  <c r="Y28" i="1"/>
  <c r="AA28" i="1" s="1"/>
  <c r="Y41" i="1"/>
  <c r="X28" i="1"/>
  <c r="X27" i="1"/>
  <c r="X26" i="1"/>
  <c r="X25" i="1"/>
  <c r="X24" i="1"/>
  <c r="W28" i="1"/>
  <c r="W27" i="1"/>
  <c r="W26" i="1"/>
  <c r="W25" i="1"/>
  <c r="W24" i="1"/>
  <c r="Y42" i="1"/>
  <c r="Z42" i="1" s="1"/>
  <c r="Y43" i="1"/>
  <c r="AA43" i="1" s="1"/>
  <c r="Y44" i="1"/>
  <c r="Z44" i="1" s="1"/>
  <c r="Z41" i="1"/>
  <c r="Y57" i="1"/>
  <c r="Z57" i="1" s="1"/>
  <c r="Y58" i="1"/>
  <c r="Z58" i="1" s="1"/>
  <c r="Y59" i="1"/>
  <c r="Z59" i="1" s="1"/>
  <c r="Y60" i="1"/>
  <c r="Z60" i="1" s="1"/>
  <c r="W66" i="1"/>
  <c r="P63" i="1"/>
  <c r="R58" i="1"/>
  <c r="S58" i="1" s="1"/>
  <c r="R59" i="1"/>
  <c r="S59" i="1" s="1"/>
  <c r="R60" i="1"/>
  <c r="S60" i="1" s="1"/>
  <c r="T57" i="1"/>
  <c r="R41" i="1"/>
  <c r="W52" i="1"/>
  <c r="W51" i="1"/>
  <c r="S41" i="1"/>
  <c r="R42" i="1"/>
  <c r="S42" i="1" s="1"/>
  <c r="R43" i="1"/>
  <c r="S43" i="1" s="1"/>
  <c r="R44" i="1"/>
  <c r="S44" i="1" s="1"/>
  <c r="S45" i="1"/>
  <c r="Q41" i="1"/>
  <c r="S28" i="1"/>
  <c r="X44" i="1"/>
  <c r="X43" i="1"/>
  <c r="X42" i="1"/>
  <c r="X41" i="1"/>
  <c r="Q76" i="1"/>
  <c r="Q75" i="1"/>
  <c r="Q74" i="1"/>
  <c r="Q73" i="1"/>
  <c r="P76" i="1"/>
  <c r="P75" i="1"/>
  <c r="P74" i="1"/>
  <c r="P73" i="1"/>
  <c r="X60" i="1"/>
  <c r="X59" i="1"/>
  <c r="X58" i="1"/>
  <c r="X57" i="1"/>
  <c r="Q60" i="1"/>
  <c r="Q59" i="1"/>
  <c r="Q58" i="1"/>
  <c r="Q57" i="1"/>
  <c r="W60" i="1"/>
  <c r="W59" i="1"/>
  <c r="W58" i="1"/>
  <c r="W57" i="1"/>
  <c r="P60" i="1"/>
  <c r="P59" i="1"/>
  <c r="P58" i="1"/>
  <c r="P57" i="1"/>
  <c r="Q45" i="1"/>
  <c r="Q44" i="1"/>
  <c r="Q43" i="1"/>
  <c r="Q42" i="1"/>
  <c r="P45" i="1"/>
  <c r="P44" i="1"/>
  <c r="P43" i="1"/>
  <c r="P42" i="1"/>
  <c r="P41" i="1"/>
  <c r="R28" i="1"/>
  <c r="R24" i="1"/>
  <c r="S24" i="1" s="1"/>
  <c r="R25" i="1"/>
  <c r="T25" i="1" s="1"/>
  <c r="R26" i="1"/>
  <c r="S26" i="1" s="1"/>
  <c r="R27" i="1"/>
  <c r="S27" i="1" s="1"/>
  <c r="Q28" i="1"/>
  <c r="Q27" i="1"/>
  <c r="Q26" i="1"/>
  <c r="Q25" i="1"/>
  <c r="Q24" i="1"/>
  <c r="P28" i="1"/>
  <c r="P27" i="1"/>
  <c r="P26" i="1"/>
  <c r="P25" i="1"/>
  <c r="P24" i="1"/>
  <c r="T9" i="1"/>
  <c r="S9" i="1"/>
  <c r="R9" i="1"/>
  <c r="Q9" i="1"/>
  <c r="Q18" i="1"/>
  <c r="R18" i="1"/>
  <c r="S18" i="1"/>
  <c r="P18" i="1" a="1"/>
  <c r="P18" i="1" s="1"/>
  <c r="W12" i="1"/>
  <c r="V12" i="1"/>
  <c r="V15" i="1"/>
  <c r="U15" i="1"/>
  <c r="T15" i="1"/>
  <c r="S15" i="1"/>
  <c r="R15" i="1"/>
  <c r="Q15" i="1"/>
  <c r="U12" i="1"/>
  <c r="T12" i="1"/>
  <c r="S12" i="1"/>
  <c r="R12" i="1"/>
  <c r="Q12" i="1"/>
  <c r="S73" i="1" l="1"/>
  <c r="S75" i="1"/>
  <c r="S74" i="1"/>
  <c r="S76" i="1"/>
  <c r="T77" i="1"/>
  <c r="AA25" i="1"/>
  <c r="Z28" i="1"/>
  <c r="AA24" i="1"/>
  <c r="Z24" i="1"/>
  <c r="Z27" i="1"/>
  <c r="AA27" i="1"/>
  <c r="AA26" i="1"/>
  <c r="Z26" i="1"/>
  <c r="Z25" i="1"/>
  <c r="Z61" i="1"/>
  <c r="S57" i="1"/>
  <c r="S61" i="1" s="1"/>
  <c r="T60" i="1"/>
  <c r="T59" i="1"/>
  <c r="AA60" i="1"/>
  <c r="AA59" i="1"/>
  <c r="AA58" i="1"/>
  <c r="T58" i="1"/>
  <c r="AA57" i="1"/>
  <c r="AA42" i="1"/>
  <c r="Z43" i="1"/>
  <c r="Z45" i="1" s="1"/>
  <c r="S46" i="1"/>
  <c r="AA44" i="1"/>
  <c r="T27" i="1"/>
  <c r="S25" i="1"/>
  <c r="S29" i="1" s="1"/>
  <c r="T26" i="1"/>
  <c r="T28" i="1"/>
  <c r="T24" i="1"/>
  <c r="T17" i="1"/>
  <c r="T18" i="1" s="1"/>
  <c r="S17" i="1"/>
  <c r="R17" i="1"/>
  <c r="Q17" i="1"/>
  <c r="P17" i="1"/>
  <c r="V14" i="1"/>
  <c r="U14" i="1"/>
  <c r="T14" i="1"/>
  <c r="S14" i="1"/>
  <c r="R14" i="1"/>
  <c r="Q14" i="1"/>
  <c r="P14" i="1"/>
  <c r="P15" i="1" s="1"/>
  <c r="W11" i="1"/>
  <c r="V11" i="1"/>
  <c r="U11" i="1"/>
  <c r="T11" i="1"/>
  <c r="S11" i="1"/>
  <c r="R11" i="1"/>
  <c r="Q11" i="1"/>
  <c r="P11" i="1"/>
  <c r="P12" i="1" s="1"/>
  <c r="T8" i="1"/>
  <c r="S8" i="1"/>
  <c r="R8" i="1"/>
  <c r="Q8" i="1"/>
  <c r="AE17" i="1" a="1"/>
  <c r="AE17" i="1" s="1"/>
  <c r="AE14" i="1" a="1"/>
  <c r="AE14" i="1" s="1"/>
  <c r="AD17" i="1" a="1"/>
  <c r="AD17" i="1" s="1"/>
  <c r="AD14" i="1" a="1"/>
  <c r="AD14" i="1" s="1"/>
  <c r="AC18" i="1" a="1"/>
  <c r="AC18" i="1" s="1"/>
  <c r="AC14" i="1" a="1"/>
  <c r="AC14" i="1" s="1"/>
  <c r="AB15" i="1" a="1"/>
  <c r="AB15" i="1" s="1"/>
  <c r="AB14" i="1" a="1"/>
  <c r="AB14" i="1" s="1"/>
  <c r="P8" i="1" s="1"/>
  <c r="P9" i="1" s="1"/>
  <c r="O17" i="1"/>
  <c r="N17" i="1"/>
  <c r="M17" i="1"/>
  <c r="L17" i="1"/>
  <c r="K17" i="1"/>
  <c r="J17" i="1"/>
  <c r="I17" i="1"/>
  <c r="H17" i="1"/>
  <c r="E8" i="1"/>
  <c r="O14" i="1"/>
  <c r="N14" i="1"/>
  <c r="M14" i="1"/>
  <c r="L14" i="1"/>
  <c r="K14" i="1"/>
  <c r="J14" i="1"/>
  <c r="I14" i="1"/>
  <c r="H14" i="1"/>
  <c r="D8" i="1"/>
  <c r="O11" i="1"/>
  <c r="N11" i="1"/>
  <c r="M11" i="1"/>
  <c r="L11" i="1"/>
  <c r="K11" i="1"/>
  <c r="J11" i="1"/>
  <c r="I11" i="1"/>
  <c r="H11" i="1"/>
  <c r="C8" i="1"/>
  <c r="O8" i="1"/>
  <c r="K8" i="1"/>
  <c r="E9" i="1"/>
  <c r="E10" i="1"/>
  <c r="E11" i="1"/>
  <c r="E12" i="1"/>
  <c r="E13" i="1"/>
  <c r="E14" i="1"/>
  <c r="E15" i="1"/>
  <c r="D9" i="1"/>
  <c r="D10" i="1"/>
  <c r="D11" i="1"/>
  <c r="D12" i="1"/>
  <c r="D13" i="1"/>
  <c r="D14" i="1"/>
  <c r="D15" i="1"/>
  <c r="C9" i="1"/>
  <c r="C10" i="1"/>
  <c r="C11" i="1"/>
  <c r="C12" i="1"/>
  <c r="C13" i="1"/>
  <c r="C14" i="1"/>
  <c r="C15" i="1"/>
  <c r="B9" i="1"/>
  <c r="I8" i="1" s="1"/>
  <c r="B10" i="1"/>
  <c r="J8" i="1" s="1"/>
  <c r="B11" i="1"/>
  <c r="B12" i="1"/>
  <c r="L8" i="1" s="1"/>
  <c r="B13" i="1"/>
  <c r="M8" i="1" s="1"/>
  <c r="B14" i="1"/>
  <c r="N8" i="1" s="1"/>
  <c r="B15" i="1"/>
  <c r="B8" i="1"/>
  <c r="H8" i="1" s="1"/>
  <c r="S77" i="1" l="1"/>
  <c r="AA29" i="1"/>
  <c r="Z29" i="1"/>
  <c r="AA61" i="1"/>
  <c r="T61" i="1"/>
  <c r="AA45" i="1"/>
  <c r="AL39" i="1" s="1"/>
  <c r="T29" i="1"/>
  <c r="U8" i="1"/>
  <c r="U9" i="1" s="1"/>
  <c r="X11" i="1"/>
  <c r="W14" i="1"/>
  <c r="T44" i="1" l="1"/>
  <c r="T42" i="1"/>
  <c r="T43" i="1"/>
  <c r="T45" i="1"/>
  <c r="T41" i="1"/>
  <c r="T46" i="1" l="1"/>
  <c r="AJ32" i="1" s="1"/>
  <c r="AK33" i="1" l="1"/>
  <c r="AJ33" i="1"/>
  <c r="AI33" i="1"/>
  <c r="AI34" i="1"/>
  <c r="AK34" i="1"/>
  <c r="AJ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<sst xmlns="http://schemas.openxmlformats.org/spreadsheetml/2006/main" count="146" uniqueCount="42">
  <si>
    <t>Термин</t>
  </si>
  <si>
    <t>Минимум (см)</t>
  </si>
  <si>
    <t>Максимум (см)</t>
  </si>
  <si>
    <t>Очень_близко</t>
  </si>
  <si>
    <t>Близко</t>
  </si>
  <si>
    <t>Средне</t>
  </si>
  <si>
    <t>Далеко</t>
  </si>
  <si>
    <t>Эксперт</t>
  </si>
  <si>
    <t>Универсальное множество</t>
  </si>
  <si>
    <t>mu</t>
  </si>
  <si>
    <t>x</t>
  </si>
  <si>
    <t>μ_расч</t>
  </si>
  <si>
    <t>μ_эксп</t>
  </si>
  <si>
    <t>(разность)²</t>
  </si>
  <si>
    <t>Параметры</t>
  </si>
  <si>
    <t>Терм</t>
  </si>
  <si>
    <t>MSE</t>
  </si>
  <si>
    <t>MAE</t>
  </si>
  <si>
    <t>MaxAE</t>
  </si>
  <si>
    <t>abs</t>
  </si>
  <si>
    <t>Тип переменной</t>
  </si>
  <si>
    <t>Название</t>
  </si>
  <si>
    <t>Физический смысл / источник данных (в Wokwi)</t>
  </si>
  <si>
    <t>Входная</t>
  </si>
  <si>
    <t>distance</t>
  </si>
  <si>
    <t>Данные с виртуального датчика HC-SR04</t>
  </si>
  <si>
    <t>deviation</t>
  </si>
  <si>
    <t>Данные с виртуального гироскопа MPU-6050 (угол)</t>
  </si>
  <si>
    <t>Выходная</t>
  </si>
  <si>
    <t>speed_left</t>
  </si>
  <si>
    <t>ШИМ-сигнал для левого мотора (0-255)</t>
  </si>
  <si>
    <t>speed_right</t>
  </si>
  <si>
    <t>ШИМ-сигнал для правого мотора (0-255)</t>
  </si>
  <si>
    <t>Лингвистические значения</t>
  </si>
  <si>
    <t>очень_близко, близко, среднее, далеко</t>
  </si>
  <si>
    <t>сильно_влево, влево, прямо, вправо, сильно_вправо</t>
  </si>
  <si>
    <t>стоп, медленно, средне, быстро</t>
  </si>
  <si>
    <t>k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</si>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</sst>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3" borderId="9" xfId="0" applyFill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4" borderId="9" xfId="0" applyFill="1" applyBorder="1" applyAlignment="1">
      <alignment horizontal="center"/>
    </xf>
    <xf numFmtId="0" fontId="0" fillId="0" borderId="0" xfId="0" applyFill="1" applyBorder="1"/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8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Очень_близко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Экспериментальные данные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Лист1!$P$8:$U$8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21</c:v>
                </c:pt>
              </c:numCache>
            </c:numRef>
          </c:xVal>
          <c:yVal>
            <c:numRef>
              <c:f>Лист1!$P$9:$U$9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0.625</c:v>
                </c:pt>
                <c:pt idx="3">
                  <c:v>0.5</c:v>
                </c:pt>
                <c:pt idx="4">
                  <c:v>0.125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D-4525-A23B-A2316B6C8596}"/>
            </c:ext>
          </c:extLst>
        </c:ser>
        <c:ser>
          <c:idx val="1"/>
          <c:order val="1"/>
          <c:tx>
            <c:v>Аппроксим. область нечеткости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(Лист1!$W$32,Лист1!$W$24:$W$28,Лист1!$W$31)</c:f>
              <c:numCache>
                <c:formatCode>General</c:formatCode>
                <c:ptCount val="7"/>
                <c:pt idx="0">
                  <c:v>9.5227255247684912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21</c:v>
                </c:pt>
                <c:pt idx="6">
                  <c:v>21.709390725065024</c:v>
                </c:pt>
              </c:numCache>
            </c:numRef>
          </c:xVal>
          <c:yVal>
            <c:numRef>
              <c:f>(Лист1!$X$32,Лист1!$Y$24:$Y$28,Лист1!$X$31)</c:f>
              <c:numCache>
                <c:formatCode>General</c:formatCode>
                <c:ptCount val="7"/>
                <c:pt idx="0">
                  <c:v>1</c:v>
                </c:pt>
                <c:pt idx="1">
                  <c:v>0.94532361969028966</c:v>
                </c:pt>
                <c:pt idx="2">
                  <c:v>0.72995713534960283</c:v>
                </c:pt>
                <c:pt idx="3">
                  <c:v>0.44854413462977705</c:v>
                </c:pt>
                <c:pt idx="4">
                  <c:v>9.0553735539946195E-2</c:v>
                </c:pt>
                <c:pt idx="5">
                  <c:v>3.5610346038461853E-2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1D-4525-A23B-A2316B6C8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398303"/>
        <c:axId val="843399967"/>
      </c:scatterChart>
      <c:valAx>
        <c:axId val="84339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Расстояние,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9967"/>
        <c:crosses val="autoZero"/>
        <c:crossBetween val="midCat"/>
      </c:valAx>
      <c:valAx>
        <c:axId val="8433999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Степень принадлежности 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8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Близко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Лист1!$P$11:$X$11</c:f>
              <c:numCache>
                <c:formatCode>General</c:formatCode>
                <c:ptCount val="9"/>
                <c:pt idx="0">
                  <c:v>9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32</c:v>
                </c:pt>
                <c:pt idx="7">
                  <c:v>35</c:v>
                </c:pt>
                <c:pt idx="8">
                  <c:v>36</c:v>
                </c:pt>
              </c:numCache>
            </c:numRef>
          </c:xVal>
          <c:yVal>
            <c:numRef>
              <c:f>Лист1!$P$12:$X$12</c:f>
              <c:numCache>
                <c:formatCode>General</c:formatCode>
                <c:ptCount val="9"/>
                <c:pt idx="0">
                  <c:v>0</c:v>
                </c:pt>
                <c:pt idx="1">
                  <c:v>0.375</c:v>
                </c:pt>
                <c:pt idx="2">
                  <c:v>0.5</c:v>
                </c:pt>
                <c:pt idx="3">
                  <c:v>0.875</c:v>
                </c:pt>
                <c:pt idx="4">
                  <c:v>1</c:v>
                </c:pt>
                <c:pt idx="5">
                  <c:v>1</c:v>
                </c:pt>
                <c:pt idx="6">
                  <c:v>0.625</c:v>
                </c:pt>
                <c:pt idx="7">
                  <c:v>0.5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C-42AF-BBB8-42ABA8AB7EE6}"/>
            </c:ext>
          </c:extLst>
        </c:ser>
        <c:ser>
          <c:idx val="1"/>
          <c:order val="1"/>
          <c:tx>
            <c:v>Аппроксим. левая но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(Лист1!$P$41:$P$45,Лист1!$P$51)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5.8289999999999997</c:v>
                </c:pt>
              </c:numCache>
            </c:numRef>
          </c:xVal>
          <c:yVal>
            <c:numRef>
              <c:f>(Лист1!$R$41:$R$45,Лист1!$Q$51)</c:f>
              <c:numCache>
                <c:formatCode>General</c:formatCode>
                <c:ptCount val="6"/>
                <c:pt idx="0">
                  <c:v>0.2237903225669792</c:v>
                </c:pt>
                <c:pt idx="1">
                  <c:v>0.29435483869725382</c:v>
                </c:pt>
                <c:pt idx="2">
                  <c:v>0.43548387095780305</c:v>
                </c:pt>
                <c:pt idx="3">
                  <c:v>0.64717741934862694</c:v>
                </c:pt>
                <c:pt idx="4">
                  <c:v>1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C-42AF-BBB8-42ABA8AB7EE6}"/>
            </c:ext>
          </c:extLst>
        </c:ser>
        <c:ser>
          <c:idx val="2"/>
          <c:order val="2"/>
          <c:tx>
            <c:v>Аппроксим. правая но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(Лист1!$W$52,Лист1!$W$41:$W$44,Лист1!$W$51)</c:f>
              <c:numCache>
                <c:formatCode>General</c:formatCode>
                <c:ptCount val="6"/>
                <c:pt idx="0">
                  <c:v>29.871236536819136</c:v>
                </c:pt>
                <c:pt idx="1">
                  <c:v>30</c:v>
                </c:pt>
                <c:pt idx="2">
                  <c:v>32</c:v>
                </c:pt>
                <c:pt idx="3">
                  <c:v>35</c:v>
                </c:pt>
                <c:pt idx="4">
                  <c:v>36</c:v>
                </c:pt>
                <c:pt idx="5">
                  <c:v>37.08015431044398</c:v>
                </c:pt>
              </c:numCache>
            </c:numRef>
          </c:xVal>
          <c:yVal>
            <c:numRef>
              <c:f>(Лист1!$X$52,Лист1!$Y$41:$Y$44,Лист1!$X$51)</c:f>
              <c:numCache>
                <c:formatCode>General</c:formatCode>
                <c:ptCount val="6"/>
                <c:pt idx="0">
                  <c:v>1</c:v>
                </c:pt>
                <c:pt idx="1">
                  <c:v>0.98213830879692254</c:v>
                </c:pt>
                <c:pt idx="2">
                  <c:v>0.70470415532143571</c:v>
                </c:pt>
                <c:pt idx="3">
                  <c:v>0.28855292510820535</c:v>
                </c:pt>
                <c:pt idx="4">
                  <c:v>0.14983584837046193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B2-4590-A600-1820D7B44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398303"/>
        <c:axId val="843399967"/>
      </c:scatterChart>
      <c:valAx>
        <c:axId val="84339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Расстояние,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9967"/>
        <c:crosses val="autoZero"/>
        <c:crossBetween val="midCat"/>
      </c:valAx>
      <c:valAx>
        <c:axId val="8433999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Степень принадлежности 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8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Средне</a:t>
            </a:r>
            <a:r>
              <a:rPr lang="ru-RU" sz="1400" b="0" i="0" u="none" strike="noStrike" baseline="0"/>
              <a:t> 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Лист1!$P$14:$W$14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32</c:v>
                </c:pt>
                <c:pt idx="3">
                  <c:v>35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61</c:v>
                </c:pt>
              </c:numCache>
            </c:numRef>
          </c:xVal>
          <c:yVal>
            <c:numRef>
              <c:f>Лист1!$P$15:$W$15</c:f>
              <c:numCache>
                <c:formatCode>General</c:formatCode>
                <c:ptCount val="8"/>
                <c:pt idx="0">
                  <c:v>0</c:v>
                </c:pt>
                <c:pt idx="1">
                  <c:v>0.375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0.625</c:v>
                </c:pt>
                <c:pt idx="6">
                  <c:v>0.25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B-43E0-B30B-9FAB50389E93}"/>
            </c:ext>
          </c:extLst>
        </c:ser>
        <c:ser>
          <c:idx val="1"/>
          <c:order val="1"/>
          <c:tx>
            <c:v>Аппроксим. левая но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(Лист1!$P$63,Лист1!$P$57:$P$60)</c:f>
              <c:numCache>
                <c:formatCode>General</c:formatCode>
                <c:ptCount val="5"/>
                <c:pt idx="0">
                  <c:v>28.411764472878634</c:v>
                </c:pt>
                <c:pt idx="1">
                  <c:v>29</c:v>
                </c:pt>
                <c:pt idx="2">
                  <c:v>30</c:v>
                </c:pt>
                <c:pt idx="3">
                  <c:v>32</c:v>
                </c:pt>
                <c:pt idx="4">
                  <c:v>35</c:v>
                </c:pt>
              </c:numCache>
            </c:numRef>
          </c:xVal>
          <c:yVal>
            <c:numRef>
              <c:f>(Лист1!$Q$63,Лист1!$R$57:$R$60)</c:f>
              <c:numCache>
                <c:formatCode>General</c:formatCode>
                <c:ptCount val="5"/>
                <c:pt idx="0">
                  <c:v>0</c:v>
                </c:pt>
                <c:pt idx="1">
                  <c:v>8.9285746494613738E-2</c:v>
                </c:pt>
                <c:pt idx="2">
                  <c:v>0.24107145541217812</c:v>
                </c:pt>
                <c:pt idx="3">
                  <c:v>0.54464287324730687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4B-43E0-B30B-9FAB50389E93}"/>
            </c:ext>
          </c:extLst>
        </c:ser>
        <c:ser>
          <c:idx val="2"/>
          <c:order val="2"/>
          <c:tx>
            <c:v>Аппроксим. правая но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(Лист1!$W$57:$W$60,Лист1!$W$66)</c:f>
              <c:numCache>
                <c:formatCode>General</c:formatCode>
                <c:ptCount val="5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61</c:v>
                </c:pt>
                <c:pt idx="4">
                  <c:v>62.073621643819493</c:v>
                </c:pt>
              </c:numCache>
            </c:numRef>
          </c:xVal>
          <c:yVal>
            <c:numRef>
              <c:f>(Лист1!$Y$57:$Y$60,Лист1!$X$66)</c:f>
              <c:numCache>
                <c:formatCode>General</c:formatCode>
                <c:ptCount val="5"/>
                <c:pt idx="0">
                  <c:v>1</c:v>
                </c:pt>
                <c:pt idx="1">
                  <c:v>0.58587405274874516</c:v>
                </c:pt>
                <c:pt idx="2">
                  <c:v>0.17174810549749034</c:v>
                </c:pt>
                <c:pt idx="3">
                  <c:v>8.892291604723937E-2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1-4141-A122-04437C05F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398303"/>
        <c:axId val="843399967"/>
      </c:scatterChart>
      <c:valAx>
        <c:axId val="84339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Расстояние,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9967"/>
        <c:crosses val="autoZero"/>
        <c:crossBetween val="midCat"/>
      </c:valAx>
      <c:valAx>
        <c:axId val="8433999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Степень принадлежности 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8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Далеко</a:t>
            </a:r>
            <a:r>
              <a:rPr lang="ru-RU" sz="1400" b="0" i="0" u="none" strike="noStrike" baseline="0"/>
              <a:t>  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Лист1!$P$17:$T$17</c:f>
              <c:numCache>
                <c:formatCode>General</c:formatCode>
                <c:ptCount val="5"/>
                <c:pt idx="0">
                  <c:v>49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200</c:v>
                </c:pt>
              </c:numCache>
            </c:numRef>
          </c:xVal>
          <c:yVal>
            <c:numRef>
              <c:f>Лист1!$P$18:$T$18</c:f>
              <c:numCache>
                <c:formatCode>General</c:formatCode>
                <c:ptCount val="5"/>
                <c:pt idx="0">
                  <c:v>0</c:v>
                </c:pt>
                <c:pt idx="1">
                  <c:v>0.375</c:v>
                </c:pt>
                <c:pt idx="2">
                  <c:v>0.75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2-4132-8B41-DA39DA63F116}"/>
            </c:ext>
          </c:extLst>
        </c:ser>
        <c:ser>
          <c:idx val="1"/>
          <c:order val="1"/>
          <c:tx>
            <c:v>Аппроксим. но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(Лист1!$P$79,Лист1!$P$73:$P$77)</c:f>
              <c:numCache>
                <c:formatCode>General</c:formatCode>
                <c:ptCount val="6"/>
                <c:pt idx="0">
                  <c:v>46.70270268532412</c:v>
                </c:pt>
                <c:pt idx="1">
                  <c:v>49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xVal>
          <c:yVal>
            <c:numRef>
              <c:f>(Лист1!$Q$79,Лист1!$R$73:$R$77)</c:f>
              <c:numCache>
                <c:formatCode>General</c:formatCode>
                <c:ptCount val="6"/>
                <c:pt idx="0">
                  <c:v>0</c:v>
                </c:pt>
                <c:pt idx="1">
                  <c:v>0.17276422872341232</c:v>
                </c:pt>
                <c:pt idx="2">
                  <c:v>0.24796748065764757</c:v>
                </c:pt>
                <c:pt idx="3">
                  <c:v>0.62398374032882375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A2-4132-8B41-DA39DA63F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398303"/>
        <c:axId val="843399967"/>
      </c:scatterChart>
      <c:valAx>
        <c:axId val="84339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Расстояние,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9967"/>
        <c:crosses val="autoZero"/>
        <c:crossBetween val="midCat"/>
      </c:valAx>
      <c:valAx>
        <c:axId val="8433999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Степень принадлежности 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398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575777</xdr:colOff>
      <xdr:row>22</xdr:row>
      <xdr:rowOff>10621</xdr:rowOff>
    </xdr:from>
    <xdr:to>
      <xdr:col>12</xdr:col>
      <xdr:colOff>581396</xdr:colOff>
      <xdr:row>37</xdr:row>
      <xdr:rowOff>148442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FC7868D-41BE-4293-9F31-D6B6D43DD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12</xdr:col>
      <xdr:colOff>524113</xdr:colOff>
      <xdr:row>54</xdr:row>
      <xdr:rowOff>7296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047847D-A9F4-4924-A988-4FEE51997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524113</xdr:colOff>
      <xdr:row>70</xdr:row>
      <xdr:rowOff>7296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D31E839-380C-4183-9601-61CECA22A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71</xdr:row>
      <xdr:rowOff>0</xdr:rowOff>
    </xdr:from>
    <xdr:to>
      <xdr:col>12</xdr:col>
      <xdr:colOff>524113</xdr:colOff>
      <xdr:row>86</xdr:row>
      <xdr:rowOff>7296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C0C6EE8-F6FF-490F-9494-EE4442A7D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55F6-F6DB-4313-8937-CEC0F12E8241}">
  <dimension ref="A1:AN88"/>
  <sheetViews>
    <sheetView tabSelected="1" topLeftCell="P1" zoomScale="70" zoomScaleNormal="70" workbookViewId="0">
      <selection activeCell="W23" sqref="W23:AB29"/>
    </sheetView>
  </sheetViews>
  <sheetFormatPr defaultRowHeight="15" x14ac:dyDescent="0.25"/>
  <cols>
    <col min="1" max="1" width="14.7109375" customWidth="1"/>
    <col min="2" max="2" width="15.85546875" customWidth="1"/>
    <col min="3" max="3" width="16.5703125" customWidth="1"/>
    <col min="7" max="7" width="15" customWidth="1"/>
    <col min="19" max="19" width="11" customWidth="1"/>
    <col min="21" max="21" width="11.7109375" customWidth="1"/>
    <col min="26" max="27" width="11.28515625" customWidth="1"/>
    <col min="28" max="28" width="19.5703125" customWidth="1"/>
    <col min="32" max="32" width="9.140625" customWidth="1"/>
    <col min="34" max="34" width="14.140625" customWidth="1"/>
    <col min="35" max="40" width="5.7109375" bestFit="1" customWidth="1"/>
  </cols>
  <sheetData>
    <row r="1" spans="1:38" x14ac:dyDescent="0.25">
      <c r="A1" s="17" t="s">
        <v>0</v>
      </c>
      <c r="B1" s="18" t="s">
        <v>1</v>
      </c>
      <c r="C1" s="18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20"/>
    </row>
    <row r="2" spans="1:38" x14ac:dyDescent="0.25">
      <c r="A2" s="21" t="s">
        <v>3</v>
      </c>
      <c r="B2" s="1"/>
      <c r="C2" s="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3"/>
    </row>
    <row r="3" spans="1:38" x14ac:dyDescent="0.25">
      <c r="A3" s="21" t="s">
        <v>4</v>
      </c>
      <c r="B3" s="1"/>
      <c r="C3" s="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3"/>
    </row>
    <row r="4" spans="1:38" x14ac:dyDescent="0.25">
      <c r="A4" s="21" t="s">
        <v>5</v>
      </c>
      <c r="B4" s="1"/>
      <c r="C4" s="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3"/>
    </row>
    <row r="5" spans="1:38" x14ac:dyDescent="0.25">
      <c r="A5" s="21" t="s">
        <v>6</v>
      </c>
      <c r="B5" s="1"/>
      <c r="C5" s="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3"/>
    </row>
    <row r="6" spans="1:38" x14ac:dyDescent="0.25">
      <c r="A6" s="24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3"/>
    </row>
    <row r="7" spans="1:38" x14ac:dyDescent="0.25">
      <c r="A7" s="21" t="s">
        <v>7</v>
      </c>
      <c r="B7" s="3" t="s">
        <v>3</v>
      </c>
      <c r="C7" s="3" t="s">
        <v>4</v>
      </c>
      <c r="D7" s="3" t="s">
        <v>5</v>
      </c>
      <c r="E7" s="3" t="s">
        <v>6</v>
      </c>
      <c r="F7" s="22"/>
      <c r="G7" s="3" t="s">
        <v>7</v>
      </c>
      <c r="H7" s="1">
        <v>1</v>
      </c>
      <c r="I7" s="1">
        <v>2</v>
      </c>
      <c r="J7" s="1">
        <v>3</v>
      </c>
      <c r="K7" s="1">
        <v>4</v>
      </c>
      <c r="L7" s="1">
        <v>5</v>
      </c>
      <c r="M7" s="1">
        <v>6</v>
      </c>
      <c r="N7" s="1">
        <v>7</v>
      </c>
      <c r="O7" s="1">
        <v>8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3"/>
    </row>
    <row r="8" spans="1:38" x14ac:dyDescent="0.25">
      <c r="A8" s="25">
        <v>1</v>
      </c>
      <c r="B8" s="1" t="str">
        <f>B19 &amp; "–" &amp; C19</f>
        <v>0–10</v>
      </c>
      <c r="C8" s="1" t="str">
        <f>B30 &amp; "–" &amp; C30</f>
        <v>10–30</v>
      </c>
      <c r="D8" s="1" t="str">
        <f>B41 &amp; "–" &amp; C41</f>
        <v>30–50</v>
      </c>
      <c r="E8" s="1" t="str">
        <f>B52 &amp; "–" &amp; C52</f>
        <v>50–200</v>
      </c>
      <c r="F8" s="22"/>
      <c r="G8" s="3" t="s">
        <v>3</v>
      </c>
      <c r="H8" s="1" t="str">
        <f>$B8</f>
        <v>0–10</v>
      </c>
      <c r="I8" s="1" t="str">
        <f>$B9</f>
        <v>0–15</v>
      </c>
      <c r="J8" s="1" t="str">
        <f>$B10</f>
        <v>0–12</v>
      </c>
      <c r="K8" s="1" t="str">
        <f>$B11</f>
        <v>0–10</v>
      </c>
      <c r="L8" s="1" t="str">
        <f>$B12</f>
        <v>0–15</v>
      </c>
      <c r="M8" s="1" t="str">
        <f>$B13</f>
        <v>0–10</v>
      </c>
      <c r="N8" s="1" t="str">
        <f>$B14</f>
        <v>0–15</v>
      </c>
      <c r="O8" s="1" t="str">
        <f>$B15</f>
        <v>0–20</v>
      </c>
      <c r="P8" s="5">
        <f>AB14</f>
        <v>0</v>
      </c>
      <c r="Q8" s="5">
        <f>AG15</f>
        <v>10</v>
      </c>
      <c r="R8" s="5">
        <f>AG16</f>
        <v>12</v>
      </c>
      <c r="S8" s="5">
        <f>AG17</f>
        <v>15</v>
      </c>
      <c r="T8" s="5">
        <f>AG18</f>
        <v>20</v>
      </c>
      <c r="U8" s="5">
        <f>T8+1</f>
        <v>21</v>
      </c>
      <c r="V8" s="6" t="s">
        <v>10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3"/>
    </row>
    <row r="9" spans="1:38" x14ac:dyDescent="0.25">
      <c r="A9" s="25">
        <v>2</v>
      </c>
      <c r="B9" s="1" t="str">
        <f t="shared" ref="B9:B15" si="0">B20 &amp; "–" &amp; C20</f>
        <v>0–15</v>
      </c>
      <c r="C9" s="1" t="str">
        <f t="shared" ref="C9:C15" si="1">B31 &amp; "–" &amp; C31</f>
        <v>15–35</v>
      </c>
      <c r="D9" s="1" t="str">
        <f t="shared" ref="D9:D15" si="2">B42 &amp; "–" &amp; C42</f>
        <v>35–60</v>
      </c>
      <c r="E9" s="1" t="str">
        <f t="shared" ref="E9:E15" si="3">B53 &amp; "–" &amp; C53</f>
        <v>60–200</v>
      </c>
      <c r="F9" s="22"/>
      <c r="G9" s="22"/>
      <c r="H9" s="22"/>
      <c r="I9" s="22"/>
      <c r="J9" s="22"/>
      <c r="K9" s="22"/>
      <c r="L9" s="22"/>
      <c r="M9" s="22"/>
      <c r="N9" s="22"/>
      <c r="O9" s="7" t="s">
        <v>9</v>
      </c>
      <c r="P9" s="4">
        <f>(COUNTIF($B$19:$C$26,P8)/8)</f>
        <v>1</v>
      </c>
      <c r="Q9" s="4">
        <f>(8/8)</f>
        <v>1</v>
      </c>
      <c r="R9" s="4">
        <f>5/8</f>
        <v>0.625</v>
      </c>
      <c r="S9" s="4">
        <f>4/8</f>
        <v>0.5</v>
      </c>
      <c r="T9" s="4">
        <f>1/8</f>
        <v>0.125</v>
      </c>
      <c r="U9" s="4">
        <f t="shared" ref="U9" si="4">(COUNTIF($B$19:$C$26,U8)/8)</f>
        <v>0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3"/>
    </row>
    <row r="10" spans="1:38" x14ac:dyDescent="0.25">
      <c r="A10" s="25">
        <v>3</v>
      </c>
      <c r="B10" s="1" t="str">
        <f t="shared" si="0"/>
        <v>0–12</v>
      </c>
      <c r="C10" s="1" t="str">
        <f t="shared" si="1"/>
        <v>12–32</v>
      </c>
      <c r="D10" s="1" t="str">
        <f t="shared" si="2"/>
        <v>32–55</v>
      </c>
      <c r="E10" s="1" t="str">
        <f t="shared" si="3"/>
        <v>55–200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3"/>
    </row>
    <row r="11" spans="1:38" x14ac:dyDescent="0.25">
      <c r="A11" s="25">
        <v>4</v>
      </c>
      <c r="B11" s="1" t="str">
        <f t="shared" si="0"/>
        <v>0–10</v>
      </c>
      <c r="C11" s="1" t="str">
        <f t="shared" si="1"/>
        <v>10–30</v>
      </c>
      <c r="D11" s="1" t="str">
        <f t="shared" si="2"/>
        <v>30–50</v>
      </c>
      <c r="E11" s="1" t="str">
        <f t="shared" si="3"/>
        <v>50–200</v>
      </c>
      <c r="F11" s="22"/>
      <c r="G11" s="3" t="s">
        <v>4</v>
      </c>
      <c r="H11" s="1" t="str">
        <f>$B30 &amp; "–" &amp; $C30</f>
        <v>10–30</v>
      </c>
      <c r="I11" s="1" t="str">
        <f>$B31 &amp; "–" &amp; $C31</f>
        <v>15–35</v>
      </c>
      <c r="J11" s="1" t="str">
        <f>$B32 &amp; "–" &amp; $C32</f>
        <v>12–32</v>
      </c>
      <c r="K11" s="1" t="str">
        <f>$B33 &amp; "–" &amp; $C33</f>
        <v>10–30</v>
      </c>
      <c r="L11" s="1" t="str">
        <f>$B34 &amp; "–" &amp; $C34</f>
        <v>15–35</v>
      </c>
      <c r="M11" s="1" t="str">
        <f>$B35 &amp; "–" &amp; $C35</f>
        <v>10–30</v>
      </c>
      <c r="N11" s="1" t="str">
        <f>$B36 &amp; "–" &amp; $C36</f>
        <v>15–35</v>
      </c>
      <c r="O11" s="1" t="str">
        <f>$B37 &amp; "–" &amp; $C37</f>
        <v>20–35</v>
      </c>
      <c r="P11" s="5">
        <f>AH14-1</f>
        <v>9</v>
      </c>
      <c r="Q11" s="5">
        <f>AH14</f>
        <v>10</v>
      </c>
      <c r="R11" s="5">
        <f>AH15</f>
        <v>12</v>
      </c>
      <c r="S11" s="5">
        <f>AH16</f>
        <v>15</v>
      </c>
      <c r="T11" s="5">
        <f>AH17</f>
        <v>20</v>
      </c>
      <c r="U11" s="5">
        <f>AH18</f>
        <v>30</v>
      </c>
      <c r="V11" s="5">
        <f>AH19</f>
        <v>32</v>
      </c>
      <c r="W11" s="5">
        <f>AH20</f>
        <v>35</v>
      </c>
      <c r="X11" s="5">
        <f>W11+1</f>
        <v>36</v>
      </c>
      <c r="Y11" s="6" t="s">
        <v>10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3"/>
    </row>
    <row r="12" spans="1:38" x14ac:dyDescent="0.25">
      <c r="A12" s="25">
        <v>5</v>
      </c>
      <c r="B12" s="1" t="str">
        <f t="shared" si="0"/>
        <v>0–15</v>
      </c>
      <c r="C12" s="1" t="str">
        <f t="shared" si="1"/>
        <v>15–35</v>
      </c>
      <c r="D12" s="1" t="str">
        <f t="shared" si="2"/>
        <v>35–55</v>
      </c>
      <c r="E12" s="1" t="str">
        <f t="shared" si="3"/>
        <v>55–200</v>
      </c>
      <c r="F12" s="22"/>
      <c r="G12" s="22"/>
      <c r="H12" s="22"/>
      <c r="I12" s="22"/>
      <c r="J12" s="22"/>
      <c r="K12" s="22"/>
      <c r="L12" s="22"/>
      <c r="M12" s="22"/>
      <c r="N12" s="22"/>
      <c r="O12" s="7" t="s">
        <v>9</v>
      </c>
      <c r="P12" s="4">
        <f>(COUNTIF($B$30:$C$37,P11)/8)</f>
        <v>0</v>
      </c>
      <c r="Q12" s="4">
        <f>3/8</f>
        <v>0.375</v>
      </c>
      <c r="R12" s="4">
        <f>4/8</f>
        <v>0.5</v>
      </c>
      <c r="S12" s="4">
        <f>7/8</f>
        <v>0.875</v>
      </c>
      <c r="T12" s="4">
        <f>8/8</f>
        <v>1</v>
      </c>
      <c r="U12" s="4">
        <f>8/8</f>
        <v>1</v>
      </c>
      <c r="V12" s="4">
        <f>5/8</f>
        <v>0.625</v>
      </c>
      <c r="W12" s="4">
        <f>4/8</f>
        <v>0.5</v>
      </c>
      <c r="X12" s="4">
        <v>0</v>
      </c>
      <c r="Y12" s="22"/>
      <c r="Z12" s="22"/>
      <c r="AA12" s="22"/>
      <c r="AB12" s="22" t="s">
        <v>8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3"/>
    </row>
    <row r="13" spans="1:38" x14ac:dyDescent="0.25">
      <c r="A13" s="25">
        <v>6</v>
      </c>
      <c r="B13" s="1" t="str">
        <f t="shared" si="0"/>
        <v>0–10</v>
      </c>
      <c r="C13" s="1" t="str">
        <f t="shared" si="1"/>
        <v>10–30</v>
      </c>
      <c r="D13" s="1" t="str">
        <f t="shared" si="2"/>
        <v>30–50</v>
      </c>
      <c r="E13" s="1" t="str">
        <f t="shared" si="3"/>
        <v>50–200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3" t="s">
        <v>3</v>
      </c>
      <c r="AC13" s="3" t="s">
        <v>4</v>
      </c>
      <c r="AD13" s="3" t="s">
        <v>5</v>
      </c>
      <c r="AE13" s="3" t="s">
        <v>6</v>
      </c>
      <c r="AF13" s="22"/>
      <c r="AG13" s="1" t="s">
        <v>3</v>
      </c>
      <c r="AH13" s="1" t="s">
        <v>4</v>
      </c>
      <c r="AI13" s="1" t="s">
        <v>5</v>
      </c>
      <c r="AJ13" s="1" t="s">
        <v>6</v>
      </c>
      <c r="AK13" s="22"/>
      <c r="AL13" s="23"/>
    </row>
    <row r="14" spans="1:38" x14ac:dyDescent="0.25">
      <c r="A14" s="25">
        <v>7</v>
      </c>
      <c r="B14" s="1" t="str">
        <f t="shared" si="0"/>
        <v>0–15</v>
      </c>
      <c r="C14" s="1" t="str">
        <f t="shared" si="1"/>
        <v>15–35</v>
      </c>
      <c r="D14" s="1" t="str">
        <f t="shared" si="2"/>
        <v>35–60</v>
      </c>
      <c r="E14" s="1" t="str">
        <f t="shared" si="3"/>
        <v>60–200</v>
      </c>
      <c r="F14" s="22"/>
      <c r="G14" s="3" t="s">
        <v>5</v>
      </c>
      <c r="H14" s="1" t="str">
        <f>$B41 &amp; "–" &amp; $C41</f>
        <v>30–50</v>
      </c>
      <c r="I14" s="1" t="str">
        <f>$B42 &amp; "–" &amp; $C42</f>
        <v>35–60</v>
      </c>
      <c r="J14" s="1" t="str">
        <f>$B43 &amp; "–" &amp; $C43</f>
        <v>32–55</v>
      </c>
      <c r="K14" s="1" t="str">
        <f>$B44 &amp; "–" &amp; $C44</f>
        <v>30–50</v>
      </c>
      <c r="L14" s="1" t="str">
        <f>$B45 &amp; "–" &amp; $C45</f>
        <v>35–55</v>
      </c>
      <c r="M14" s="1" t="str">
        <f>$B46 &amp; "–" &amp; $C46</f>
        <v>30–50</v>
      </c>
      <c r="N14" s="1" t="str">
        <f>$B47 &amp; "–" &amp; $C47</f>
        <v>35–60</v>
      </c>
      <c r="O14" s="1" t="str">
        <f>$B48 &amp; "–" &amp; $C48</f>
        <v>35–55</v>
      </c>
      <c r="P14" s="5">
        <f>AI14-1</f>
        <v>29</v>
      </c>
      <c r="Q14" s="5">
        <f>AI14</f>
        <v>30</v>
      </c>
      <c r="R14" s="5">
        <f>AI15</f>
        <v>32</v>
      </c>
      <c r="S14" s="5">
        <f>AI16</f>
        <v>35</v>
      </c>
      <c r="T14" s="5">
        <f>AI17</f>
        <v>50</v>
      </c>
      <c r="U14" s="5">
        <f>AI18</f>
        <v>55</v>
      </c>
      <c r="V14" s="5">
        <f>AI19</f>
        <v>60</v>
      </c>
      <c r="W14" s="5">
        <f>V14+1</f>
        <v>61</v>
      </c>
      <c r="X14" s="6" t="s">
        <v>10</v>
      </c>
      <c r="Y14" s="22"/>
      <c r="Z14" s="22"/>
      <c r="AA14" s="22"/>
      <c r="AB14" s="1" cm="1">
        <f t="array" ref="AB14">_xlfn.UNIQUE(B19:B26)</f>
        <v>0</v>
      </c>
      <c r="AC14" s="1" cm="1">
        <f t="array" ref="AC14:AC17">_xlfn.UNIQUE(B30:B37)</f>
        <v>10</v>
      </c>
      <c r="AD14" s="1" cm="1">
        <f t="array" ref="AD14:AD16">_xlfn.UNIQUE(B41:B48)</f>
        <v>30</v>
      </c>
      <c r="AE14" s="1" cm="1">
        <f t="array" ref="AE14:AE16">_xlfn.UNIQUE(B52:B59)</f>
        <v>50</v>
      </c>
      <c r="AF14" s="22"/>
      <c r="AG14" s="1">
        <v>0</v>
      </c>
      <c r="AH14" s="1">
        <v>10</v>
      </c>
      <c r="AI14" s="1">
        <v>30</v>
      </c>
      <c r="AJ14" s="1">
        <v>50</v>
      </c>
      <c r="AK14" s="22"/>
      <c r="AL14" s="23"/>
    </row>
    <row r="15" spans="1:38" x14ac:dyDescent="0.25">
      <c r="A15" s="25">
        <v>8</v>
      </c>
      <c r="B15" s="1" t="str">
        <f t="shared" si="0"/>
        <v>0–20</v>
      </c>
      <c r="C15" s="1" t="str">
        <f t="shared" si="1"/>
        <v>20–35</v>
      </c>
      <c r="D15" s="1" t="str">
        <f t="shared" si="2"/>
        <v>35–55</v>
      </c>
      <c r="E15" s="1" t="str">
        <f t="shared" si="3"/>
        <v>55–200</v>
      </c>
      <c r="F15" s="22"/>
      <c r="G15" s="22"/>
      <c r="H15" s="22"/>
      <c r="I15" s="22"/>
      <c r="J15" s="22"/>
      <c r="K15" s="22"/>
      <c r="L15" s="22"/>
      <c r="M15" s="22"/>
      <c r="N15" s="22"/>
      <c r="O15" s="7" t="s">
        <v>9</v>
      </c>
      <c r="P15" s="4">
        <f>(COUNTIF($B$41:$C$48,P14)/8)</f>
        <v>0</v>
      </c>
      <c r="Q15" s="4">
        <f>3/8</f>
        <v>0.375</v>
      </c>
      <c r="R15" s="4">
        <f>4/8</f>
        <v>0.5</v>
      </c>
      <c r="S15" s="4">
        <f>8/8</f>
        <v>1</v>
      </c>
      <c r="T15" s="4">
        <f>8/8</f>
        <v>1</v>
      </c>
      <c r="U15" s="4">
        <f>5/8</f>
        <v>0.625</v>
      </c>
      <c r="V15" s="4">
        <f>2/8</f>
        <v>0.25</v>
      </c>
      <c r="W15" s="4">
        <v>0</v>
      </c>
      <c r="X15" s="22"/>
      <c r="Y15" s="22"/>
      <c r="Z15" s="22"/>
      <c r="AA15" s="22"/>
      <c r="AB15" s="1" cm="1">
        <f t="array" ref="AB15:AB18">_xlfn.UNIQUE(C19:C26)</f>
        <v>10</v>
      </c>
      <c r="AC15" s="1">
        <v>15</v>
      </c>
      <c r="AD15" s="1">
        <v>35</v>
      </c>
      <c r="AE15" s="1">
        <v>60</v>
      </c>
      <c r="AF15" s="22"/>
      <c r="AG15" s="1">
        <v>10</v>
      </c>
      <c r="AH15" s="1">
        <v>12</v>
      </c>
      <c r="AI15" s="1">
        <v>32</v>
      </c>
      <c r="AJ15" s="1">
        <v>55</v>
      </c>
      <c r="AK15" s="22"/>
      <c r="AL15" s="23"/>
    </row>
    <row r="16" spans="1:38" x14ac:dyDescent="0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1">
        <v>15</v>
      </c>
      <c r="AC16" s="1">
        <v>12</v>
      </c>
      <c r="AD16" s="1">
        <v>32</v>
      </c>
      <c r="AE16" s="1">
        <v>55</v>
      </c>
      <c r="AF16" s="22"/>
      <c r="AG16" s="1">
        <v>12</v>
      </c>
      <c r="AH16" s="1">
        <v>15</v>
      </c>
      <c r="AI16" s="1">
        <v>35</v>
      </c>
      <c r="AJ16" s="1">
        <v>60</v>
      </c>
      <c r="AK16" s="22"/>
      <c r="AL16" s="23"/>
    </row>
    <row r="17" spans="1:38" x14ac:dyDescent="0.25">
      <c r="A17" s="38" t="s">
        <v>3</v>
      </c>
      <c r="B17" s="39"/>
      <c r="C17" s="39"/>
      <c r="D17" s="22"/>
      <c r="E17" s="22"/>
      <c r="F17" s="22"/>
      <c r="G17" s="3" t="s">
        <v>6</v>
      </c>
      <c r="H17" s="1" t="str">
        <f>$B52 &amp; "–" &amp; $C52</f>
        <v>50–200</v>
      </c>
      <c r="I17" s="1" t="str">
        <f>$B53 &amp; "–" &amp; $C53</f>
        <v>60–200</v>
      </c>
      <c r="J17" s="1" t="str">
        <f>$B54 &amp; "–" &amp; $C54</f>
        <v>55–200</v>
      </c>
      <c r="K17" s="1" t="str">
        <f>$B55 &amp; "–" &amp; $C55</f>
        <v>50–200</v>
      </c>
      <c r="L17" s="1" t="str">
        <f>$B56 &amp; "–" &amp; $C56</f>
        <v>55–200</v>
      </c>
      <c r="M17" s="1" t="str">
        <f>$B57 &amp; "–" &amp; $C57</f>
        <v>50–200</v>
      </c>
      <c r="N17" s="1" t="str">
        <f>$B58 &amp; "–" &amp; $C58</f>
        <v>60–200</v>
      </c>
      <c r="O17" s="1" t="str">
        <f>$B59 &amp; "–" &amp; $C59</f>
        <v>55–200</v>
      </c>
      <c r="P17" s="5">
        <f>AJ14-1</f>
        <v>49</v>
      </c>
      <c r="Q17" s="5">
        <f>AJ14</f>
        <v>50</v>
      </c>
      <c r="R17" s="5">
        <f>AJ15</f>
        <v>55</v>
      </c>
      <c r="S17" s="5">
        <f>AJ16</f>
        <v>60</v>
      </c>
      <c r="T17" s="5">
        <f>AJ17</f>
        <v>200</v>
      </c>
      <c r="U17" s="6" t="s">
        <v>10</v>
      </c>
      <c r="V17" s="22"/>
      <c r="W17" s="22"/>
      <c r="X17" s="22"/>
      <c r="Y17" s="22"/>
      <c r="Z17" s="22"/>
      <c r="AA17" s="22"/>
      <c r="AB17" s="1">
        <v>12</v>
      </c>
      <c r="AC17" s="1">
        <v>20</v>
      </c>
      <c r="AD17" s="1" cm="1">
        <f t="array" ref="AD17:AD19">_xlfn.UNIQUE(C41:C48)</f>
        <v>50</v>
      </c>
      <c r="AE17" s="1" cm="1">
        <f t="array" ref="AE17">_xlfn.UNIQUE(C52:C59)</f>
        <v>200</v>
      </c>
      <c r="AF17" s="22"/>
      <c r="AG17" s="1">
        <v>15</v>
      </c>
      <c r="AH17" s="1">
        <v>20</v>
      </c>
      <c r="AI17" s="1">
        <v>50</v>
      </c>
      <c r="AJ17" s="1">
        <v>200</v>
      </c>
      <c r="AK17" s="22"/>
      <c r="AL17" s="23"/>
    </row>
    <row r="18" spans="1:38" x14ac:dyDescent="0.25">
      <c r="A18" s="21" t="s">
        <v>7</v>
      </c>
      <c r="B18" s="2" t="s">
        <v>1</v>
      </c>
      <c r="C18" s="2" t="s">
        <v>2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7" t="s">
        <v>9</v>
      </c>
      <c r="P18" s="4" cm="1">
        <f t="array" ref="P18">COUNTIFS(B52:B59, "&lt;="&amp;x, C52:C59, "&gt;="&amp;x) / 8</f>
        <v>0</v>
      </c>
      <c r="Q18" s="4">
        <f>3/8</f>
        <v>0.375</v>
      </c>
      <c r="R18" s="4">
        <f>6/8</f>
        <v>0.75</v>
      </c>
      <c r="S18" s="4">
        <f>8/8</f>
        <v>1</v>
      </c>
      <c r="T18" s="4">
        <f t="shared" ref="T18" si="5">(COUNTIF($B$52:$C$59,T17)/8)</f>
        <v>1</v>
      </c>
      <c r="U18" s="22"/>
      <c r="V18" s="22"/>
      <c r="W18" s="22"/>
      <c r="X18" s="22"/>
      <c r="Y18" s="22"/>
      <c r="Z18" s="22"/>
      <c r="AA18" s="22"/>
      <c r="AB18" s="1">
        <v>20</v>
      </c>
      <c r="AC18" s="1" cm="1">
        <f t="array" ref="AC18:AC20">_xlfn.UNIQUE(C30:C37)</f>
        <v>30</v>
      </c>
      <c r="AD18" s="1">
        <v>60</v>
      </c>
      <c r="AE18" s="1"/>
      <c r="AF18" s="22"/>
      <c r="AG18" s="1">
        <v>20</v>
      </c>
      <c r="AH18" s="1">
        <v>30</v>
      </c>
      <c r="AI18" s="1">
        <v>55</v>
      </c>
      <c r="AJ18" s="1"/>
      <c r="AK18" s="22"/>
      <c r="AL18" s="23"/>
    </row>
    <row r="19" spans="1:38" x14ac:dyDescent="0.25">
      <c r="A19" s="25">
        <v>1</v>
      </c>
      <c r="B19" s="1">
        <v>0</v>
      </c>
      <c r="C19" s="1">
        <v>10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1"/>
      <c r="AC19" s="1">
        <v>35</v>
      </c>
      <c r="AD19" s="1">
        <v>55</v>
      </c>
      <c r="AE19" s="1"/>
      <c r="AF19" s="22"/>
      <c r="AG19" s="1"/>
      <c r="AH19" s="1">
        <v>32</v>
      </c>
      <c r="AI19" s="1">
        <v>60</v>
      </c>
      <c r="AJ19" s="1"/>
      <c r="AK19" s="22"/>
      <c r="AL19" s="23"/>
    </row>
    <row r="20" spans="1:38" x14ac:dyDescent="0.25">
      <c r="A20" s="25">
        <v>2</v>
      </c>
      <c r="B20" s="1">
        <v>0</v>
      </c>
      <c r="C20" s="1">
        <v>15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1"/>
      <c r="AC20" s="1">
        <v>32</v>
      </c>
      <c r="AD20" s="1"/>
      <c r="AE20" s="1"/>
      <c r="AF20" s="22"/>
      <c r="AG20" s="1"/>
      <c r="AH20" s="1">
        <v>35</v>
      </c>
      <c r="AI20" s="1"/>
      <c r="AJ20" s="1"/>
      <c r="AK20" s="22"/>
      <c r="AL20" s="23"/>
    </row>
    <row r="21" spans="1:38" x14ac:dyDescent="0.25">
      <c r="A21" s="25">
        <v>3</v>
      </c>
      <c r="B21" s="1">
        <v>0</v>
      </c>
      <c r="C21" s="1">
        <v>12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3"/>
    </row>
    <row r="22" spans="1:38" x14ac:dyDescent="0.25">
      <c r="A22" s="25">
        <v>4</v>
      </c>
      <c r="B22" s="1">
        <v>0</v>
      </c>
      <c r="C22" s="1">
        <v>10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3"/>
    </row>
    <row r="23" spans="1:38" x14ac:dyDescent="0.25">
      <c r="A23" s="25">
        <v>5</v>
      </c>
      <c r="B23" s="1">
        <v>0</v>
      </c>
      <c r="C23" s="1">
        <v>15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 t="s">
        <v>10</v>
      </c>
      <c r="Q23" s="1" t="s">
        <v>12</v>
      </c>
      <c r="R23" s="8" t="s">
        <v>11</v>
      </c>
      <c r="S23" s="1" t="s">
        <v>13</v>
      </c>
      <c r="T23" s="1" t="s">
        <v>19</v>
      </c>
      <c r="U23" s="1" t="s">
        <v>14</v>
      </c>
      <c r="V23" s="22"/>
      <c r="W23" s="1" t="s">
        <v>10</v>
      </c>
      <c r="X23" s="1" t="s">
        <v>12</v>
      </c>
      <c r="Y23" s="8" t="s">
        <v>11</v>
      </c>
      <c r="Z23" s="1" t="s">
        <v>13</v>
      </c>
      <c r="AA23" s="1" t="s">
        <v>19</v>
      </c>
      <c r="AB23" s="1" t="s">
        <v>14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23"/>
    </row>
    <row r="24" spans="1:38" x14ac:dyDescent="0.25">
      <c r="A24" s="25">
        <v>6</v>
      </c>
      <c r="B24" s="1">
        <v>0</v>
      </c>
      <c r="C24" s="1">
        <v>10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1">
        <f>Q8</f>
        <v>10</v>
      </c>
      <c r="Q24" s="1">
        <f>Q9</f>
        <v>1</v>
      </c>
      <c r="R24" s="1">
        <f>IF(P24&lt;=$U$24, 1, IF(P24&gt;=$U$25, 0, 1 - (P24-$U$24)/($U$25-$U$24)))</f>
        <v>0.90665308228182195</v>
      </c>
      <c r="S24" s="1">
        <f>(R24-Q24)*(R24-Q24)</f>
        <v>8.7136470474843027E-3</v>
      </c>
      <c r="T24" s="1">
        <f t="shared" ref="T24:T28" si="6">ABS(R24-Q24)</f>
        <v>9.3346917718178046E-2</v>
      </c>
      <c r="U24" s="1">
        <v>8.8552739910923606</v>
      </c>
      <c r="V24" s="22"/>
      <c r="W24" s="1">
        <f>Q8</f>
        <v>10</v>
      </c>
      <c r="X24" s="1">
        <f>Q9</f>
        <v>1</v>
      </c>
      <c r="Y24" s="1">
        <f>($AB$26-W24)/($AB$26-$AB$25) + $AB$24*(W24-$AB$25)*(W24-$AB$26)</f>
        <v>0.94532361969028966</v>
      </c>
      <c r="Z24" s="1">
        <f>(Y24-X24)*(Y24-X24)</f>
        <v>2.9895065637720801E-3</v>
      </c>
      <c r="AA24" s="1">
        <f t="shared" ref="AA24:AA28" si="7">ABS(Y24-X24)</f>
        <v>5.4676380309710337E-2</v>
      </c>
      <c r="AB24" s="1">
        <v>2.7757817194136369E-3</v>
      </c>
      <c r="AC24" s="22" t="s">
        <v>37</v>
      </c>
      <c r="AD24" s="22"/>
      <c r="AE24" s="22"/>
      <c r="AF24" s="22"/>
      <c r="AG24" s="22"/>
      <c r="AH24" s="22"/>
      <c r="AI24" s="22"/>
      <c r="AJ24" s="22"/>
      <c r="AK24" s="22"/>
      <c r="AL24" s="23"/>
    </row>
    <row r="25" spans="1:38" x14ac:dyDescent="0.25">
      <c r="A25" s="25">
        <v>7</v>
      </c>
      <c r="B25" s="1">
        <v>0</v>
      </c>
      <c r="C25" s="1">
        <v>15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9">
        <f>R8</f>
        <v>12</v>
      </c>
      <c r="Q25" s="9">
        <f>R9</f>
        <v>0.625</v>
      </c>
      <c r="R25" s="1">
        <f>IF(P25&lt;=$U$24, 1, IF(P25&gt;=$U$25, 0, 1 - (P25-$U$24)/($U$25-$U$24)))</f>
        <v>0.74356267114098529</v>
      </c>
      <c r="S25" s="1">
        <f>(R25-Q25)*(R25-Q25)</f>
        <v>1.4057106988085426E-2</v>
      </c>
      <c r="T25" s="1">
        <f t="shared" si="6"/>
        <v>0.11856267114098529</v>
      </c>
      <c r="U25" s="1">
        <v>21.118410652590502</v>
      </c>
      <c r="V25" s="22"/>
      <c r="W25" s="9">
        <f>R8</f>
        <v>12</v>
      </c>
      <c r="X25" s="9">
        <f>R9</f>
        <v>0.625</v>
      </c>
      <c r="Y25" s="1">
        <f t="shared" ref="Y25:Y28" si="8">($AB$26-W25)/($AB$26-$AB$25) + $AB$24*(W25-$AB$25)*(W25-$AB$26)</f>
        <v>0.72995713534960283</v>
      </c>
      <c r="Z25" s="1">
        <f>(Y25-X25)*(Y25-X25)</f>
        <v>1.1016000260794847E-2</v>
      </c>
      <c r="AA25" s="1">
        <f t="shared" si="7"/>
        <v>0.10495713534960283</v>
      </c>
      <c r="AB25" s="1">
        <v>9.5227255247684912</v>
      </c>
      <c r="AC25" s="22" t="s">
        <v>38</v>
      </c>
      <c r="AD25" s="22"/>
      <c r="AE25" s="22"/>
      <c r="AF25" s="22"/>
      <c r="AG25" s="22"/>
      <c r="AH25" s="22"/>
      <c r="AI25" s="22"/>
      <c r="AJ25" s="22"/>
      <c r="AK25" s="22"/>
      <c r="AL25" s="23"/>
    </row>
    <row r="26" spans="1:38" x14ac:dyDescent="0.25">
      <c r="A26" s="25">
        <v>8</v>
      </c>
      <c r="B26" s="1">
        <v>0</v>
      </c>
      <c r="C26" s="1">
        <v>20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9">
        <f>S8</f>
        <v>15</v>
      </c>
      <c r="Q26" s="33">
        <f>S9</f>
        <v>0.5</v>
      </c>
      <c r="R26" s="1">
        <f>IF(P26&lt;=$U$24, 1, IF(P26&gt;=$U$25, 0, 1 - (P26-$U$24)/($U$25-$U$24)))</f>
        <v>0.49892705442973007</v>
      </c>
      <c r="S26" s="1">
        <f>(R26-Q26)*(R26-Q26)</f>
        <v>1.1512121967618742E-6</v>
      </c>
      <c r="T26" s="1">
        <f t="shared" si="6"/>
        <v>1.0729455702699342E-3</v>
      </c>
      <c r="U26" s="9"/>
      <c r="V26" s="22"/>
      <c r="W26" s="9">
        <f>S8</f>
        <v>15</v>
      </c>
      <c r="X26" s="33">
        <f>S9</f>
        <v>0.5</v>
      </c>
      <c r="Y26" s="1">
        <f t="shared" si="8"/>
        <v>0.44854413462977705</v>
      </c>
      <c r="Z26" s="1">
        <f>(Y26-X26)*(Y26-X26)</f>
        <v>2.6477060809985097E-3</v>
      </c>
      <c r="AA26" s="1">
        <f t="shared" si="7"/>
        <v>5.1455865370222953E-2</v>
      </c>
      <c r="AB26" s="9">
        <v>21.709390725065024</v>
      </c>
      <c r="AC26" s="22" t="s">
        <v>39</v>
      </c>
      <c r="AD26" s="22"/>
      <c r="AE26" s="22"/>
      <c r="AF26" s="22"/>
      <c r="AG26" s="22"/>
      <c r="AH26" s="22"/>
      <c r="AI26" s="22"/>
      <c r="AJ26" s="22"/>
      <c r="AK26" s="22"/>
      <c r="AL26" s="23"/>
    </row>
    <row r="27" spans="1:38" x14ac:dyDescent="0.25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9">
        <f>T8</f>
        <v>20</v>
      </c>
      <c r="Q27" s="9">
        <f>T9</f>
        <v>0.125</v>
      </c>
      <c r="R27" s="1">
        <f>IF(P27&lt;=$U$24, 1, IF(P27&gt;=$U$25, 0, 1 - (P27-$U$24)/($U$25-$U$24)))</f>
        <v>9.1201026577638178E-2</v>
      </c>
      <c r="S27" s="1">
        <f>(R27-Q27)*(R27-Q27)</f>
        <v>1.1423706044055208E-3</v>
      </c>
      <c r="T27" s="1">
        <f t="shared" si="6"/>
        <v>3.3798973422361822E-2</v>
      </c>
      <c r="U27" s="9"/>
      <c r="V27" s="22"/>
      <c r="W27" s="9">
        <f>T8</f>
        <v>20</v>
      </c>
      <c r="X27" s="9">
        <f>T9</f>
        <v>0.125</v>
      </c>
      <c r="Y27" s="1">
        <f t="shared" si="8"/>
        <v>9.0553735539946195E-2</v>
      </c>
      <c r="Z27" s="1">
        <f>(Y27-X27)*(Y27-X27)</f>
        <v>1.1865451352519659E-3</v>
      </c>
      <c r="AA27" s="1">
        <f t="shared" si="7"/>
        <v>3.4446264460053805E-2</v>
      </c>
      <c r="AB27" s="9"/>
      <c r="AC27" s="22"/>
      <c r="AD27" s="22"/>
      <c r="AE27" s="22"/>
      <c r="AF27" s="22"/>
      <c r="AG27" s="22"/>
      <c r="AH27" s="22"/>
      <c r="AI27" s="22"/>
      <c r="AJ27" s="22"/>
      <c r="AK27" s="22"/>
      <c r="AL27" s="23"/>
    </row>
    <row r="28" spans="1:38" ht="15.75" thickBot="1" x14ac:dyDescent="0.3">
      <c r="A28" s="38" t="s">
        <v>4</v>
      </c>
      <c r="B28" s="39"/>
      <c r="C28" s="39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9">
        <f>U8</f>
        <v>21</v>
      </c>
      <c r="Q28" s="9">
        <f>U9</f>
        <v>0</v>
      </c>
      <c r="R28" s="1">
        <f>IF(P28&lt;=$U$24, 1, IF(P28&gt;=$U$25, 0, 1 - (P28-$U$24)/($U$25-$U$24)))</f>
        <v>9.6558210072198447E-3</v>
      </c>
      <c r="S28" s="11">
        <f>(R28-Q28)*(R28-Q28)</f>
        <v>9.3234879323468052E-5</v>
      </c>
      <c r="T28" s="1">
        <f t="shared" si="6"/>
        <v>9.6558210072198447E-3</v>
      </c>
      <c r="U28" s="9"/>
      <c r="V28" s="22"/>
      <c r="W28" s="9">
        <f>U8</f>
        <v>21</v>
      </c>
      <c r="X28" s="9">
        <f>U9</f>
        <v>0</v>
      </c>
      <c r="Y28" s="1">
        <f t="shared" si="8"/>
        <v>3.5610346038461853E-2</v>
      </c>
      <c r="Z28" s="11">
        <f>(Y28-X28)*(Y28-X28)</f>
        <v>1.2680967449789958E-3</v>
      </c>
      <c r="AA28" s="1">
        <f t="shared" si="7"/>
        <v>3.5610346038461853E-2</v>
      </c>
      <c r="AB28" s="9"/>
      <c r="AC28" s="22"/>
      <c r="AD28" s="22"/>
      <c r="AE28" s="22"/>
      <c r="AF28" s="22"/>
      <c r="AG28" s="22"/>
      <c r="AH28" s="22"/>
      <c r="AI28" s="22"/>
      <c r="AJ28" s="22"/>
      <c r="AK28" s="22"/>
      <c r="AL28" s="23"/>
    </row>
    <row r="29" spans="1:38" ht="15.75" thickBot="1" x14ac:dyDescent="0.3">
      <c r="A29" s="21" t="s">
        <v>7</v>
      </c>
      <c r="B29" s="2" t="s">
        <v>1</v>
      </c>
      <c r="C29" s="2" t="s">
        <v>2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6"/>
      <c r="Q29" s="26"/>
      <c r="R29" s="26"/>
      <c r="S29" s="13">
        <f>SUM(S24:S28)</f>
        <v>2.4007510731495482E-2</v>
      </c>
      <c r="T29" s="10">
        <f>SUM(T24:T28)</f>
        <v>0.25643732885901493</v>
      </c>
      <c r="U29" s="26"/>
      <c r="V29" s="22"/>
      <c r="W29" s="26"/>
      <c r="X29" s="26"/>
      <c r="Y29" s="26"/>
      <c r="Z29" s="13">
        <f>SUM(Z24:Z28)</f>
        <v>1.9107854785796397E-2</v>
      </c>
      <c r="AA29" s="10">
        <f>SUM(AA24:AA28)</f>
        <v>0.28114599152805175</v>
      </c>
      <c r="AB29" s="26"/>
      <c r="AC29" s="22"/>
      <c r="AD29" s="22"/>
      <c r="AE29" s="22"/>
      <c r="AF29" s="22"/>
      <c r="AG29" s="22"/>
      <c r="AH29" s="22"/>
      <c r="AI29" s="22"/>
      <c r="AJ29" s="22"/>
      <c r="AK29" s="22"/>
      <c r="AL29" s="23"/>
    </row>
    <row r="30" spans="1:38" x14ac:dyDescent="0.25">
      <c r="A30" s="25">
        <v>1</v>
      </c>
      <c r="B30" s="1">
        <v>10</v>
      </c>
      <c r="C30" s="1">
        <v>30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40"/>
      <c r="Q30" s="40"/>
      <c r="R30" s="26"/>
      <c r="S30" s="26"/>
      <c r="T30" s="26"/>
      <c r="U30" s="26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14" t="s">
        <v>15</v>
      </c>
      <c r="AI30" s="14" t="s">
        <v>16</v>
      </c>
      <c r="AJ30" s="14" t="s">
        <v>17</v>
      </c>
      <c r="AK30" s="14" t="s">
        <v>18</v>
      </c>
      <c r="AL30" s="27"/>
    </row>
    <row r="31" spans="1:38" x14ac:dyDescent="0.25">
      <c r="A31" s="25">
        <v>2</v>
      </c>
      <c r="B31" s="1">
        <v>15</v>
      </c>
      <c r="C31" s="1">
        <v>35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6">
        <v>8.8550000000000004</v>
      </c>
      <c r="Q31" s="26">
        <v>1</v>
      </c>
      <c r="R31" s="26"/>
      <c r="S31" s="26"/>
      <c r="T31" s="26"/>
      <c r="U31" s="26"/>
      <c r="V31" s="22"/>
      <c r="W31" s="22">
        <f>AB26</f>
        <v>21.709390725065024</v>
      </c>
      <c r="X31" s="22">
        <v>0</v>
      </c>
      <c r="Y31" s="22"/>
      <c r="Z31" s="22"/>
      <c r="AA31" s="22"/>
      <c r="AB31" s="22"/>
      <c r="AC31" s="22"/>
      <c r="AD31" s="22"/>
      <c r="AE31" s="22"/>
      <c r="AF31" s="22"/>
      <c r="AG31" s="22"/>
      <c r="AH31" s="3" t="s">
        <v>3</v>
      </c>
      <c r="AI31" s="16">
        <f>Z29/5</f>
        <v>3.8215709571592796E-3</v>
      </c>
      <c r="AJ31" s="16">
        <f>T29/6</f>
        <v>4.2739554809835822E-2</v>
      </c>
      <c r="AK31" s="16">
        <f>MAX(T24:T28)</f>
        <v>0.11856267114098529</v>
      </c>
      <c r="AL31" s="28"/>
    </row>
    <row r="32" spans="1:38" x14ac:dyDescent="0.25">
      <c r="A32" s="25">
        <v>3</v>
      </c>
      <c r="B32" s="1">
        <v>12</v>
      </c>
      <c r="C32" s="1">
        <v>32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6"/>
      <c r="Q32" s="26"/>
      <c r="R32" s="26"/>
      <c r="S32" s="26"/>
      <c r="T32" s="26"/>
      <c r="U32" s="26"/>
      <c r="V32" s="22"/>
      <c r="W32" s="22">
        <f>AB25</f>
        <v>9.5227255247684912</v>
      </c>
      <c r="X32" s="22">
        <v>1</v>
      </c>
      <c r="Y32" s="22"/>
      <c r="Z32" s="22"/>
      <c r="AA32" s="22"/>
      <c r="AB32" s="22"/>
      <c r="AC32" s="22"/>
      <c r="AD32" s="22"/>
      <c r="AE32" s="22"/>
      <c r="AF32" s="22"/>
      <c r="AG32" s="22"/>
      <c r="AH32" s="3" t="s">
        <v>4</v>
      </c>
      <c r="AI32" s="16">
        <f>S46/5</f>
        <v>2.253024193548387E-2</v>
      </c>
      <c r="AJ32" s="16">
        <f>T46/9</f>
        <v>6.6308243729255048E-2</v>
      </c>
      <c r="AK32" s="16">
        <f>MAX(T41:T49)</f>
        <v>0.59677419356329542</v>
      </c>
      <c r="AL32" s="28"/>
    </row>
    <row r="33" spans="1:40" x14ac:dyDescent="0.25">
      <c r="A33" s="25">
        <v>4</v>
      </c>
      <c r="B33" s="1">
        <v>10</v>
      </c>
      <c r="C33" s="1">
        <v>30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3" t="s">
        <v>5</v>
      </c>
      <c r="AI33" s="16">
        <f>S61/8</f>
        <v>3.4877232142859664E-3</v>
      </c>
      <c r="AJ33" s="16">
        <f>T61/8</f>
        <v>3.3482145541217812E-2</v>
      </c>
      <c r="AK33" s="16">
        <f>MAX(T57:T64)</f>
        <v>0.26785716432974249</v>
      </c>
      <c r="AL33" s="28"/>
    </row>
    <row r="34" spans="1:40" x14ac:dyDescent="0.25">
      <c r="A34" s="25">
        <v>5</v>
      </c>
      <c r="B34" s="1">
        <v>15</v>
      </c>
      <c r="C34" s="1">
        <v>35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3" t="s">
        <v>6</v>
      </c>
      <c r="AI34" s="16">
        <f>S77/5</f>
        <v>1.2372967479674798E-2</v>
      </c>
      <c r="AJ34" s="16">
        <f>T77/5</f>
        <v>8.5162601547388195E-2</v>
      </c>
      <c r="AK34" s="16">
        <f>MAX(T73:T77)</f>
        <v>0.42581300773694097</v>
      </c>
      <c r="AL34" s="28"/>
    </row>
    <row r="35" spans="1:40" x14ac:dyDescent="0.25">
      <c r="A35" s="25">
        <v>6</v>
      </c>
      <c r="B35" s="1">
        <v>10</v>
      </c>
      <c r="C35" s="1">
        <v>30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3"/>
    </row>
    <row r="36" spans="1:40" x14ac:dyDescent="0.25">
      <c r="A36" s="25">
        <v>7</v>
      </c>
      <c r="B36" s="1">
        <v>15</v>
      </c>
      <c r="C36" s="1">
        <v>35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3"/>
    </row>
    <row r="37" spans="1:40" x14ac:dyDescent="0.25">
      <c r="A37" s="25">
        <v>8</v>
      </c>
      <c r="B37" s="1">
        <v>20</v>
      </c>
      <c r="C37" s="1">
        <v>35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14" t="s">
        <v>15</v>
      </c>
      <c r="AI37" s="37" t="s">
        <v>16</v>
      </c>
      <c r="AJ37" s="37"/>
      <c r="AK37" s="37" t="s">
        <v>17</v>
      </c>
      <c r="AL37" s="37"/>
      <c r="AM37" s="37" t="s">
        <v>18</v>
      </c>
      <c r="AN37" s="37"/>
    </row>
    <row r="38" spans="1:40" x14ac:dyDescent="0.25">
      <c r="A38" s="2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3" t="s">
        <v>3</v>
      </c>
      <c r="AI38" s="36">
        <f>Z29/5</f>
        <v>3.8215709571592796E-3</v>
      </c>
      <c r="AJ38" s="36"/>
      <c r="AK38" s="36">
        <f>AA29/5</f>
        <v>5.6229198305610351E-2</v>
      </c>
      <c r="AL38" s="36"/>
      <c r="AM38" s="36">
        <f>MAX(AA24:AA28)</f>
        <v>0.10495713534960283</v>
      </c>
      <c r="AN38" s="36"/>
    </row>
    <row r="39" spans="1:40" x14ac:dyDescent="0.25">
      <c r="A39" s="38" t="s">
        <v>5</v>
      </c>
      <c r="B39" s="39"/>
      <c r="C39" s="39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3" t="s">
        <v>4</v>
      </c>
      <c r="AI39" s="35">
        <f>S46/5</f>
        <v>2.253024193548387E-2</v>
      </c>
      <c r="AJ39" s="35">
        <f>Z45/44</f>
        <v>1.678009984666589E-3</v>
      </c>
      <c r="AK39" s="35">
        <f>T46/5</f>
        <v>0.11935483871265909</v>
      </c>
      <c r="AL39" s="35">
        <f>AA45/44</f>
        <v>1.0428381131517494E-2</v>
      </c>
      <c r="AM39" s="35">
        <f>MAX(T41:T45)</f>
        <v>0.22782258065137306</v>
      </c>
      <c r="AN39" s="35">
        <f>MAX(AA41:AA44)</f>
        <v>0.21144707489179465</v>
      </c>
    </row>
    <row r="40" spans="1:40" x14ac:dyDescent="0.25">
      <c r="A40" s="21" t="s">
        <v>7</v>
      </c>
      <c r="B40" s="2" t="s">
        <v>1</v>
      </c>
      <c r="C40" s="2" t="s">
        <v>2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" t="s">
        <v>10</v>
      </c>
      <c r="Q40" s="1" t="s">
        <v>12</v>
      </c>
      <c r="R40" s="8" t="s">
        <v>11</v>
      </c>
      <c r="S40" s="1" t="s">
        <v>13</v>
      </c>
      <c r="T40" s="1" t="s">
        <v>19</v>
      </c>
      <c r="U40" s="1" t="s">
        <v>14</v>
      </c>
      <c r="V40" s="22"/>
      <c r="W40" s="1" t="s">
        <v>10</v>
      </c>
      <c r="X40" s="1" t="s">
        <v>12</v>
      </c>
      <c r="Y40" s="8" t="s">
        <v>11</v>
      </c>
      <c r="Z40" s="1" t="s">
        <v>13</v>
      </c>
      <c r="AA40" s="1" t="s">
        <v>19</v>
      </c>
      <c r="AB40" s="1" t="s">
        <v>14</v>
      </c>
      <c r="AC40" s="22"/>
      <c r="AD40" s="22"/>
      <c r="AE40" s="22"/>
      <c r="AF40" s="22"/>
      <c r="AG40" s="22"/>
      <c r="AH40" s="3" t="s">
        <v>5</v>
      </c>
      <c r="AI40" s="35">
        <f>S61/4</f>
        <v>6.9754464285719329E-3</v>
      </c>
      <c r="AJ40" s="35">
        <f>Z61/4</f>
        <v>3.8903709349710647E-3</v>
      </c>
      <c r="AK40" s="35">
        <f>T61/4</f>
        <v>6.6964291082435623E-2</v>
      </c>
      <c r="AL40" s="35">
        <f>AA61/4</f>
        <v>5.1575189450250969E-2</v>
      </c>
      <c r="AM40" s="35">
        <f>MAX(T57:T60)</f>
        <v>0.13392854458782188</v>
      </c>
      <c r="AN40" s="35">
        <f>MAX(AA57:AA60)</f>
        <v>8.892291604723937E-2</v>
      </c>
    </row>
    <row r="41" spans="1:40" x14ac:dyDescent="0.25">
      <c r="A41" s="25">
        <v>1</v>
      </c>
      <c r="B41" s="1">
        <v>30</v>
      </c>
      <c r="C41" s="1">
        <v>50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1">
        <f>P11</f>
        <v>9</v>
      </c>
      <c r="Q41" s="1">
        <f>P12</f>
        <v>0</v>
      </c>
      <c r="R41" s="1">
        <f>$U$41*(P41-$U$42)*(P41-$U$43)+(P41-$U$42)/($U$43-$U$42)</f>
        <v>0.2237903225669792</v>
      </c>
      <c r="S41" s="1">
        <f>(R41-Q41)*(R41-Q41)</f>
        <v>5.0082108474632597E-2</v>
      </c>
      <c r="T41" s="1">
        <f>ABS(R41-Q41)</f>
        <v>0.2237903225669792</v>
      </c>
      <c r="U41" s="1">
        <v>0</v>
      </c>
      <c r="V41" s="22" t="s">
        <v>37</v>
      </c>
      <c r="W41" s="1">
        <v>30</v>
      </c>
      <c r="X41" s="1">
        <f>U12</f>
        <v>1</v>
      </c>
      <c r="Y41" s="1">
        <f>($AB$43-W41)/($AB$43-$AB$42) + $AB$41*(W41-$AB$42)*(W41-$AB$43)</f>
        <v>0.98213830879692254</v>
      </c>
      <c r="Z41" s="1">
        <f>(Y41-X41)*(Y41-X41)</f>
        <v>3.190400126340946E-4</v>
      </c>
      <c r="AA41" s="1">
        <f>ABS(Y41-X41)</f>
        <v>1.7861691203077457E-2</v>
      </c>
      <c r="AB41" s="1">
        <v>0</v>
      </c>
      <c r="AC41" s="22" t="s">
        <v>37</v>
      </c>
      <c r="AD41" s="22"/>
      <c r="AE41" s="22"/>
      <c r="AF41" s="22"/>
      <c r="AG41" s="22"/>
      <c r="AH41" s="3" t="s">
        <v>6</v>
      </c>
      <c r="AI41" s="36">
        <f>S77/4</f>
        <v>1.5466209349593498E-2</v>
      </c>
      <c r="AJ41" s="36"/>
      <c r="AK41" s="36">
        <f>T77/4</f>
        <v>0.10645325193423524</v>
      </c>
      <c r="AL41" s="36"/>
      <c r="AM41" s="36">
        <f>MAX(T73:T76)</f>
        <v>0.17276422872341232</v>
      </c>
      <c r="AN41" s="36"/>
    </row>
    <row r="42" spans="1:40" x14ac:dyDescent="0.25">
      <c r="A42" s="25">
        <v>2</v>
      </c>
      <c r="B42" s="1">
        <v>35</v>
      </c>
      <c r="C42" s="1">
        <v>60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1">
        <f>Q11</f>
        <v>10</v>
      </c>
      <c r="Q42" s="1">
        <f>Q12</f>
        <v>0.375</v>
      </c>
      <c r="R42" s="1">
        <f t="shared" ref="R42:R44" si="9">$U$41*(P42-$U$42)*(P42-$U$43)+(P42-$U$42)/($U$43-$U$42)</f>
        <v>0.29435483869725382</v>
      </c>
      <c r="S42" s="1">
        <f t="shared" ref="S42:S43" si="10">(R42-Q42)*(R42-Q42)</f>
        <v>6.5036420415459503E-3</v>
      </c>
      <c r="T42" s="1">
        <f t="shared" ref="T42:T45" si="11">ABS(R42-Q42)</f>
        <v>8.0645161302746182E-2</v>
      </c>
      <c r="U42" s="1">
        <v>5.8285714288209309</v>
      </c>
      <c r="V42" s="22" t="s">
        <v>38</v>
      </c>
      <c r="W42" s="1">
        <v>32</v>
      </c>
      <c r="X42" s="1">
        <f>V12</f>
        <v>0.625</v>
      </c>
      <c r="Y42" s="1">
        <f t="shared" ref="Y42:Y44" si="12">($AB$43-W42)/($AB$43-$AB$42) + $AB$41*(W42-$AB$42)*(W42-$AB$43)</f>
        <v>0.70470415532143571</v>
      </c>
      <c r="Z42" s="1">
        <f t="shared" ref="Z42:Z44" si="13">(Y42-X42)*(Y42-X42)</f>
        <v>6.3527523755035481E-3</v>
      </c>
      <c r="AA42" s="1">
        <f t="shared" ref="AA42:AA44" si="14">ABS(Y42-X42)</f>
        <v>7.970415532143571E-2</v>
      </c>
      <c r="AB42" s="1">
        <v>29.871236536819136</v>
      </c>
      <c r="AC42" s="22" t="s">
        <v>40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</row>
    <row r="43" spans="1:40" x14ac:dyDescent="0.25">
      <c r="A43" s="25">
        <v>3</v>
      </c>
      <c r="B43" s="1">
        <v>32</v>
      </c>
      <c r="C43" s="1">
        <v>55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1">
        <f>R11</f>
        <v>12</v>
      </c>
      <c r="Q43" s="1">
        <f>R12</f>
        <v>0.5</v>
      </c>
      <c r="R43" s="1">
        <f t="shared" si="9"/>
        <v>0.43548387095780305</v>
      </c>
      <c r="S43" s="1">
        <f t="shared" si="10"/>
        <v>4.1623309065894083E-3</v>
      </c>
      <c r="T43" s="1">
        <f>ABS(R43-Q43)</f>
        <v>6.4516129042196946E-2</v>
      </c>
      <c r="U43" s="1">
        <v>20</v>
      </c>
      <c r="V43" s="22" t="s">
        <v>39</v>
      </c>
      <c r="W43" s="1">
        <v>35</v>
      </c>
      <c r="X43" s="1">
        <f>W12</f>
        <v>0.5</v>
      </c>
      <c r="Y43" s="1">
        <f t="shared" si="12"/>
        <v>0.28855292510820535</v>
      </c>
      <c r="Z43" s="1">
        <f t="shared" si="13"/>
        <v>4.4709865480296214E-2</v>
      </c>
      <c r="AA43" s="1">
        <f t="shared" si="14"/>
        <v>0.21144707489179465</v>
      </c>
      <c r="AB43" s="1">
        <v>37.08015431044398</v>
      </c>
      <c r="AC43" s="22" t="s">
        <v>41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</row>
    <row r="44" spans="1:40" ht="15.75" thickBot="1" x14ac:dyDescent="0.3">
      <c r="A44" s="25">
        <v>4</v>
      </c>
      <c r="B44" s="1">
        <v>30</v>
      </c>
      <c r="C44" s="1">
        <v>50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1">
        <f>S11</f>
        <v>15</v>
      </c>
      <c r="Q44" s="1">
        <f>S12</f>
        <v>0.875</v>
      </c>
      <c r="R44" s="1">
        <f t="shared" si="9"/>
        <v>0.64717741934862694</v>
      </c>
      <c r="S44" s="1">
        <f>(R44-Q44)*(R44-Q44)</f>
        <v>5.1903128254651383E-2</v>
      </c>
      <c r="T44" s="1">
        <f t="shared" si="11"/>
        <v>0.22782258065137306</v>
      </c>
      <c r="U44" s="1"/>
      <c r="V44" s="22"/>
      <c r="W44" s="1">
        <v>36</v>
      </c>
      <c r="X44" s="1">
        <f>X12</f>
        <v>0</v>
      </c>
      <c r="Y44" s="1">
        <f t="shared" si="12"/>
        <v>0.14983584837046193</v>
      </c>
      <c r="Z44" s="1">
        <f t="shared" si="13"/>
        <v>2.2450781456896059E-2</v>
      </c>
      <c r="AA44" s="1">
        <f t="shared" si="14"/>
        <v>0.14983584837046193</v>
      </c>
      <c r="AB44" s="1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</row>
    <row r="45" spans="1:40" ht="15.75" thickBot="1" x14ac:dyDescent="0.3">
      <c r="A45" s="25">
        <v>5</v>
      </c>
      <c r="B45" s="1">
        <v>35</v>
      </c>
      <c r="C45" s="1">
        <v>55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1">
        <f>T11</f>
        <v>20</v>
      </c>
      <c r="Q45" s="1">
        <f>T12</f>
        <v>1</v>
      </c>
      <c r="R45" s="1">
        <f>$U$41*(P45-$U$42)*(P45-$U$43)+(P45-$U$42)/($U$43-$U$42)</f>
        <v>1</v>
      </c>
      <c r="S45" s="1">
        <f>(R45-Q45)*(R45-Q45)</f>
        <v>0</v>
      </c>
      <c r="T45" s="1">
        <f t="shared" si="11"/>
        <v>0</v>
      </c>
      <c r="U45" s="1"/>
      <c r="V45" s="22"/>
      <c r="W45" s="1"/>
      <c r="X45" s="1"/>
      <c r="Y45" s="1"/>
      <c r="Z45" s="12">
        <f>SUM(Z41:Z44)</f>
        <v>7.3832439325329915E-2</v>
      </c>
      <c r="AA45" s="15">
        <f>SUM(AA41:AA44)</f>
        <v>0.45884876978676975</v>
      </c>
      <c r="AB45" s="1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</row>
    <row r="46" spans="1:40" ht="15.75" thickBot="1" x14ac:dyDescent="0.3">
      <c r="A46" s="25">
        <v>6</v>
      </c>
      <c r="B46" s="1">
        <v>30</v>
      </c>
      <c r="C46" s="1">
        <v>50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1"/>
      <c r="Q46" s="1"/>
      <c r="R46" s="1"/>
      <c r="S46" s="12">
        <f>SUM(S41:S45)</f>
        <v>0.11265120967741934</v>
      </c>
      <c r="T46" s="15">
        <f>SUM(T41:T45)</f>
        <v>0.59677419356329542</v>
      </c>
      <c r="U46" s="1"/>
      <c r="V46" s="22"/>
      <c r="W46" s="1"/>
      <c r="X46" s="1"/>
      <c r="Y46" s="1"/>
      <c r="Z46" s="1"/>
      <c r="AA46" s="1"/>
      <c r="AB46" s="1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</row>
    <row r="47" spans="1:40" x14ac:dyDescent="0.25">
      <c r="A47" s="25">
        <v>7</v>
      </c>
      <c r="B47" s="1">
        <v>35</v>
      </c>
      <c r="C47" s="1">
        <v>60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1"/>
      <c r="Q47" s="1"/>
      <c r="R47" s="1"/>
      <c r="S47" s="1"/>
      <c r="T47" s="1"/>
      <c r="U47" s="1"/>
      <c r="V47" s="22"/>
      <c r="W47" s="1"/>
      <c r="X47" s="1"/>
      <c r="Y47" s="1"/>
      <c r="Z47" s="1"/>
      <c r="AA47" s="1"/>
      <c r="AB47" s="1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</row>
    <row r="48" spans="1:40" x14ac:dyDescent="0.25">
      <c r="A48" s="25">
        <v>8</v>
      </c>
      <c r="B48" s="1">
        <v>35</v>
      </c>
      <c r="C48" s="1">
        <v>55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1"/>
      <c r="Q48" s="1"/>
      <c r="R48" s="1"/>
      <c r="S48" s="1"/>
      <c r="T48" s="1"/>
      <c r="U48" s="1"/>
      <c r="V48" s="22"/>
      <c r="W48" s="1"/>
      <c r="X48" s="1"/>
      <c r="Y48" s="1"/>
      <c r="Z48" s="1"/>
      <c r="AA48" s="1"/>
      <c r="AB48" s="1"/>
      <c r="AC48" s="22"/>
      <c r="AD48" s="22"/>
      <c r="AE48" s="22"/>
      <c r="AF48" s="22"/>
      <c r="AG48" s="22"/>
      <c r="AH48" s="22"/>
      <c r="AI48" s="22"/>
      <c r="AJ48" s="22"/>
      <c r="AK48" s="22"/>
      <c r="AL48" s="23"/>
    </row>
    <row r="49" spans="1:38" x14ac:dyDescent="0.25">
      <c r="A49" s="2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1"/>
      <c r="Q49" s="1"/>
      <c r="R49" s="1"/>
      <c r="S49" s="11"/>
      <c r="T49" s="1"/>
      <c r="U49" s="1"/>
      <c r="V49" s="22"/>
      <c r="W49" s="1"/>
      <c r="X49" s="1"/>
      <c r="Y49" s="1"/>
      <c r="Z49" s="11"/>
      <c r="AA49" s="1"/>
      <c r="AB49" s="1"/>
      <c r="AC49" s="22"/>
      <c r="AD49" s="22"/>
      <c r="AE49" s="22"/>
      <c r="AF49" s="22"/>
      <c r="AG49" s="22"/>
      <c r="AH49" s="22"/>
      <c r="AI49" s="22"/>
      <c r="AJ49" s="22"/>
      <c r="AK49" s="22"/>
      <c r="AL49" s="23"/>
    </row>
    <row r="50" spans="1:38" x14ac:dyDescent="0.25">
      <c r="A50" s="38" t="s">
        <v>6</v>
      </c>
      <c r="B50" s="39"/>
      <c r="C50" s="39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15"/>
      <c r="Q50" s="15"/>
      <c r="R50" s="15"/>
      <c r="U50" s="15"/>
      <c r="V50" s="22"/>
      <c r="W50" s="15"/>
      <c r="X50" s="15"/>
      <c r="Y50" s="15"/>
      <c r="AB50" s="15"/>
      <c r="AC50" s="22"/>
      <c r="AD50" s="22"/>
      <c r="AE50" s="22"/>
      <c r="AF50" s="22"/>
      <c r="AG50" s="22"/>
      <c r="AH50" s="22"/>
      <c r="AI50" s="22"/>
      <c r="AJ50" s="22"/>
      <c r="AK50" s="22"/>
      <c r="AL50" s="23"/>
    </row>
    <row r="51" spans="1:38" x14ac:dyDescent="0.25">
      <c r="A51" s="21" t="s">
        <v>7</v>
      </c>
      <c r="B51" s="2" t="s">
        <v>1</v>
      </c>
      <c r="C51" s="2" t="s">
        <v>2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>
        <v>5.8289999999999997</v>
      </c>
      <c r="Q51" s="22">
        <v>0</v>
      </c>
      <c r="R51" s="22"/>
      <c r="S51" s="22"/>
      <c r="T51" s="22"/>
      <c r="U51" s="22"/>
      <c r="V51" s="22"/>
      <c r="W51" s="22">
        <f>AB43</f>
        <v>37.08015431044398</v>
      </c>
      <c r="X51" s="22">
        <v>0</v>
      </c>
      <c r="Y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3"/>
    </row>
    <row r="52" spans="1:38" x14ac:dyDescent="0.25">
      <c r="A52" s="25">
        <v>1</v>
      </c>
      <c r="B52" s="1">
        <v>50</v>
      </c>
      <c r="C52" s="1">
        <v>200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>
        <f>AB42</f>
        <v>29.871236536819136</v>
      </c>
      <c r="X52" s="22">
        <v>1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3"/>
    </row>
    <row r="53" spans="1:38" x14ac:dyDescent="0.25">
      <c r="A53" s="25">
        <v>2</v>
      </c>
      <c r="B53" s="1">
        <v>60</v>
      </c>
      <c r="C53" s="1">
        <v>200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3"/>
    </row>
    <row r="54" spans="1:38" x14ac:dyDescent="0.25">
      <c r="A54" s="25">
        <v>3</v>
      </c>
      <c r="B54" s="1">
        <v>55</v>
      </c>
      <c r="C54" s="1">
        <v>200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3"/>
    </row>
    <row r="55" spans="1:38" x14ac:dyDescent="0.25">
      <c r="A55" s="25">
        <v>4</v>
      </c>
      <c r="B55" s="1">
        <v>50</v>
      </c>
      <c r="C55" s="1">
        <v>200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3"/>
    </row>
    <row r="56" spans="1:38" x14ac:dyDescent="0.25">
      <c r="A56" s="25">
        <v>5</v>
      </c>
      <c r="B56" s="1">
        <v>55</v>
      </c>
      <c r="C56" s="1">
        <v>200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1" t="s">
        <v>10</v>
      </c>
      <c r="Q56" s="1" t="s">
        <v>12</v>
      </c>
      <c r="R56" s="8" t="s">
        <v>11</v>
      </c>
      <c r="S56" s="1" t="s">
        <v>13</v>
      </c>
      <c r="T56" s="1" t="s">
        <v>19</v>
      </c>
      <c r="U56" s="1" t="s">
        <v>14</v>
      </c>
      <c r="V56" s="34"/>
      <c r="W56" s="1" t="s">
        <v>10</v>
      </c>
      <c r="X56" s="1" t="s">
        <v>12</v>
      </c>
      <c r="Y56" s="8" t="s">
        <v>11</v>
      </c>
      <c r="Z56" s="1" t="s">
        <v>13</v>
      </c>
      <c r="AA56" s="1" t="s">
        <v>19</v>
      </c>
      <c r="AB56" s="1" t="s">
        <v>14</v>
      </c>
      <c r="AC56" s="22"/>
      <c r="AD56" s="22"/>
      <c r="AE56" s="22"/>
      <c r="AF56" s="22"/>
      <c r="AG56" s="22"/>
      <c r="AH56" s="22"/>
      <c r="AI56" s="22"/>
      <c r="AJ56" s="22"/>
      <c r="AK56" s="22"/>
      <c r="AL56" s="23"/>
    </row>
    <row r="57" spans="1:38" x14ac:dyDescent="0.25">
      <c r="A57" s="25">
        <v>6</v>
      </c>
      <c r="B57" s="1">
        <v>50</v>
      </c>
      <c r="C57" s="1">
        <v>200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1">
        <f>P14</f>
        <v>29</v>
      </c>
      <c r="Q57" s="1">
        <f>P15</f>
        <v>0</v>
      </c>
      <c r="R57" s="1">
        <f>$U$57*(P57-$U$58)*(P57-$U$59)+(P57-$U$58)/($U$59-$U$58)</f>
        <v>8.9285746494613738E-2</v>
      </c>
      <c r="S57" s="1">
        <f>(R57-Q57)*(R57-Q57)</f>
        <v>7.9719445271004292E-3</v>
      </c>
      <c r="T57" s="1">
        <f>ABS(R57-Q57)</f>
        <v>8.9285746494613738E-2</v>
      </c>
      <c r="U57" s="1">
        <v>0</v>
      </c>
      <c r="V57" s="22" t="s">
        <v>37</v>
      </c>
      <c r="W57" s="1">
        <f>T14</f>
        <v>50</v>
      </c>
      <c r="X57" s="1">
        <f>T15</f>
        <v>1</v>
      </c>
      <c r="Y57" s="1">
        <f t="shared" ref="Y57:Y59" si="15">($AB$59-W57)/($AB$59-$AB$58) + $AB$57*(W57-$AB$58)*(W57-$AB$59)</f>
        <v>1</v>
      </c>
      <c r="Z57" s="1">
        <f>(Y57-X57)*(Y57-X57)</f>
        <v>0</v>
      </c>
      <c r="AA57" s="1">
        <f>ABS(Y57-X57)</f>
        <v>0</v>
      </c>
      <c r="AB57" s="1">
        <v>0</v>
      </c>
      <c r="AC57" s="22" t="s">
        <v>37</v>
      </c>
      <c r="AD57" s="22"/>
      <c r="AE57" s="22"/>
      <c r="AF57" s="22"/>
      <c r="AG57" s="22"/>
      <c r="AH57" s="22"/>
      <c r="AI57" s="22"/>
      <c r="AJ57" s="22"/>
      <c r="AK57" s="22"/>
      <c r="AL57" s="23"/>
    </row>
    <row r="58" spans="1:38" x14ac:dyDescent="0.25">
      <c r="A58" s="25">
        <v>7</v>
      </c>
      <c r="B58" s="1">
        <v>60</v>
      </c>
      <c r="C58" s="1">
        <v>200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1">
        <f>Q14</f>
        <v>30</v>
      </c>
      <c r="Q58" s="1">
        <f>Q15</f>
        <v>0.375</v>
      </c>
      <c r="R58" s="1">
        <f t="shared" ref="R58:R60" si="16">$U$57*(P58-$U$58)*(P58-$U$59)+(P58-$U$58)/($U$59-$U$58)</f>
        <v>0.24107145541217812</v>
      </c>
      <c r="S58" s="1">
        <f t="shared" ref="S58:S60" si="17">(R58-Q58)*(R58-Q58)</f>
        <v>1.7936855055412194E-2</v>
      </c>
      <c r="T58" s="1">
        <f t="shared" ref="T58:T60" si="18">ABS(R58-Q58)</f>
        <v>0.13392854458782188</v>
      </c>
      <c r="U58" s="1">
        <v>28.411764472878634</v>
      </c>
      <c r="V58" s="22" t="s">
        <v>38</v>
      </c>
      <c r="W58" s="1">
        <f>U14</f>
        <v>55</v>
      </c>
      <c r="X58" s="1">
        <f>U15</f>
        <v>0.625</v>
      </c>
      <c r="Y58" s="1">
        <f t="shared" si="15"/>
        <v>0.58587405274874516</v>
      </c>
      <c r="Z58" s="1">
        <f>(Y58-X58)*(Y58-X58)</f>
        <v>1.5308397483079765E-3</v>
      </c>
      <c r="AA58" s="1">
        <f>ABS(Y58-X58)</f>
        <v>3.9125947251254845E-2</v>
      </c>
      <c r="AB58" s="1">
        <v>50</v>
      </c>
      <c r="AC58" s="22" t="s">
        <v>40</v>
      </c>
      <c r="AD58" s="22"/>
      <c r="AE58" s="22"/>
      <c r="AF58" s="22"/>
      <c r="AG58" s="22"/>
      <c r="AH58" s="22"/>
      <c r="AI58" s="22"/>
      <c r="AJ58" s="22"/>
      <c r="AK58" s="22"/>
      <c r="AL58" s="23"/>
    </row>
    <row r="59" spans="1:38" x14ac:dyDescent="0.25">
      <c r="A59" s="25">
        <v>8</v>
      </c>
      <c r="B59" s="1">
        <v>55</v>
      </c>
      <c r="C59" s="1">
        <v>200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1">
        <f>R14</f>
        <v>32</v>
      </c>
      <c r="Q59" s="1">
        <f>R15</f>
        <v>0.5</v>
      </c>
      <c r="R59" s="1">
        <f t="shared" si="16"/>
        <v>0.54464287324730687</v>
      </c>
      <c r="S59" s="1">
        <f t="shared" si="17"/>
        <v>1.9929861317751073E-3</v>
      </c>
      <c r="T59" s="1">
        <f t="shared" si="18"/>
        <v>4.4642873247306869E-2</v>
      </c>
      <c r="U59" s="1">
        <v>35</v>
      </c>
      <c r="V59" s="22" t="s">
        <v>39</v>
      </c>
      <c r="W59" s="1">
        <f>V14</f>
        <v>60</v>
      </c>
      <c r="X59" s="1">
        <f>V15</f>
        <v>0.25</v>
      </c>
      <c r="Y59" s="1">
        <f t="shared" si="15"/>
        <v>0.17174810549749034</v>
      </c>
      <c r="Z59" s="1">
        <f>(Y59-X59)*(Y59-X59)</f>
        <v>6.1233589932319019E-3</v>
      </c>
      <c r="AA59" s="1">
        <f>ABS(Y59-X59)</f>
        <v>7.8251894502509661E-2</v>
      </c>
      <c r="AB59" s="1">
        <v>62.073621643819493</v>
      </c>
      <c r="AC59" s="22" t="s">
        <v>41</v>
      </c>
      <c r="AD59" s="22"/>
      <c r="AE59" s="22"/>
      <c r="AF59" s="22"/>
      <c r="AG59" s="22"/>
      <c r="AH59" s="22"/>
      <c r="AI59" s="22"/>
      <c r="AJ59" s="22"/>
      <c r="AK59" s="22"/>
      <c r="AL59" s="23"/>
    </row>
    <row r="60" spans="1:38" ht="15.75" thickBot="1" x14ac:dyDescent="0.3">
      <c r="A60" s="2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1">
        <f>S14</f>
        <v>35</v>
      </c>
      <c r="Q60" s="1">
        <f>S15</f>
        <v>1</v>
      </c>
      <c r="R60" s="1">
        <f t="shared" si="16"/>
        <v>1</v>
      </c>
      <c r="S60" s="1">
        <f t="shared" si="17"/>
        <v>0</v>
      </c>
      <c r="T60" s="1">
        <f t="shared" si="18"/>
        <v>0</v>
      </c>
      <c r="U60" s="1"/>
      <c r="V60" s="22"/>
      <c r="W60" s="1">
        <f>W14</f>
        <v>61</v>
      </c>
      <c r="X60" s="1">
        <f>W15</f>
        <v>0</v>
      </c>
      <c r="Y60" s="1">
        <f>($AB$59-W60)/($AB$59-$AB$58) + $AB$57*(W60-$AB$58)*(W60-$AB$59)</f>
        <v>8.892291604723937E-2</v>
      </c>
      <c r="Z60" s="11">
        <f>(Y60-X60)*(Y60-X60)</f>
        <v>7.9072849983443817E-3</v>
      </c>
      <c r="AA60" s="1">
        <f>ABS(Y60-X60)</f>
        <v>8.892291604723937E-2</v>
      </c>
      <c r="AB60" s="1"/>
      <c r="AC60" s="22"/>
      <c r="AD60" s="22"/>
      <c r="AE60" s="22"/>
      <c r="AF60" s="22"/>
      <c r="AG60" s="22"/>
      <c r="AH60" s="22"/>
      <c r="AI60" s="22"/>
      <c r="AJ60" s="22"/>
      <c r="AK60" s="22"/>
      <c r="AL60" s="23"/>
    </row>
    <row r="61" spans="1:38" ht="15.75" thickBot="1" x14ac:dyDescent="0.3">
      <c r="A61" s="2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S61" s="12">
        <f>SUM(S57:S60)</f>
        <v>2.7901785714287732E-2</v>
      </c>
      <c r="T61" s="15">
        <f>SUM(T57:T60)</f>
        <v>0.26785716432974249</v>
      </c>
      <c r="U61" s="1"/>
      <c r="V61" s="22"/>
      <c r="W61" s="1"/>
      <c r="X61" s="1"/>
      <c r="Y61" s="1"/>
      <c r="Z61" s="12">
        <f>SUM(Z57:Z60)</f>
        <v>1.5561483739884259E-2</v>
      </c>
      <c r="AA61" s="15">
        <f>SUM(AA57:AA60)</f>
        <v>0.20630075780100388</v>
      </c>
      <c r="AB61" s="1"/>
      <c r="AC61" s="22"/>
      <c r="AD61" s="22"/>
      <c r="AE61" s="22"/>
      <c r="AF61" s="22"/>
      <c r="AG61" s="22"/>
      <c r="AH61" s="22"/>
      <c r="AI61" s="22"/>
      <c r="AJ61" s="22"/>
      <c r="AK61" s="22"/>
      <c r="AL61" s="23"/>
    </row>
    <row r="62" spans="1:38" x14ac:dyDescent="0.25">
      <c r="A62" s="2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U62" s="1"/>
      <c r="V62" s="22"/>
      <c r="W62" s="1"/>
      <c r="X62" s="1"/>
      <c r="Y62" s="1"/>
      <c r="Z62" s="1"/>
      <c r="AA62" s="1"/>
      <c r="AB62" s="1"/>
      <c r="AC62" s="22"/>
      <c r="AD62" s="22"/>
      <c r="AE62" s="22"/>
      <c r="AF62" s="22"/>
      <c r="AG62" s="22"/>
      <c r="AH62" s="22"/>
      <c r="AI62" s="22"/>
      <c r="AJ62" s="22"/>
      <c r="AK62" s="22"/>
      <c r="AL62" s="23"/>
    </row>
    <row r="63" spans="1:38" x14ac:dyDescent="0.25">
      <c r="A63" s="2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>
        <f>U58</f>
        <v>28.411764472878634</v>
      </c>
      <c r="Q63">
        <v>0</v>
      </c>
      <c r="U63" s="1"/>
      <c r="V63" s="22"/>
      <c r="W63" s="1"/>
      <c r="X63" s="1"/>
      <c r="Y63" s="1"/>
      <c r="Z63" s="1"/>
      <c r="AA63" s="1"/>
      <c r="AB63" s="1"/>
      <c r="AC63" s="22"/>
      <c r="AD63" s="22"/>
      <c r="AE63" s="22"/>
      <c r="AF63" s="22"/>
      <c r="AG63" s="22"/>
      <c r="AH63" s="22"/>
      <c r="AI63" s="22"/>
      <c r="AJ63" s="22"/>
      <c r="AK63" s="22"/>
      <c r="AL63" s="23"/>
    </row>
    <row r="64" spans="1:38" x14ac:dyDescent="0.25">
      <c r="A64" s="2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U64" s="1"/>
      <c r="V64" s="22"/>
      <c r="W64" s="1"/>
      <c r="X64" s="1"/>
      <c r="Y64" s="1"/>
      <c r="Z64" s="11"/>
      <c r="AA64" s="1"/>
      <c r="AB64" s="1"/>
      <c r="AC64" s="22"/>
      <c r="AD64" s="22"/>
      <c r="AE64" s="22"/>
      <c r="AF64" s="22"/>
      <c r="AG64" s="22"/>
      <c r="AH64" s="22"/>
      <c r="AI64" s="22"/>
      <c r="AJ64" s="22"/>
      <c r="AK64" s="22"/>
      <c r="AL64" s="23"/>
    </row>
    <row r="65" spans="1:38" x14ac:dyDescent="0.25">
      <c r="A65" s="2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15"/>
      <c r="Q65" s="15"/>
      <c r="R65" s="15"/>
      <c r="U65" s="15"/>
      <c r="V65" s="22"/>
      <c r="W65" s="15"/>
      <c r="X65" s="15"/>
      <c r="Y65" s="15"/>
      <c r="AB65" s="15"/>
      <c r="AC65" s="22"/>
      <c r="AD65" s="22"/>
      <c r="AE65" s="22"/>
      <c r="AF65" s="22"/>
      <c r="AG65" s="22"/>
      <c r="AH65" s="22"/>
      <c r="AI65" s="22"/>
      <c r="AJ65" s="22"/>
      <c r="AK65" s="22"/>
      <c r="AL65" s="23"/>
    </row>
    <row r="66" spans="1:38" x14ac:dyDescent="0.25">
      <c r="A66" s="2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>
        <f>AB59</f>
        <v>62.073621643819493</v>
      </c>
      <c r="X66" s="22">
        <v>0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3"/>
    </row>
    <row r="67" spans="1:38" x14ac:dyDescent="0.25">
      <c r="A67" s="2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3"/>
    </row>
    <row r="68" spans="1:38" x14ac:dyDescent="0.25">
      <c r="A68" s="2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3"/>
    </row>
    <row r="69" spans="1:38" x14ac:dyDescent="0.25">
      <c r="A69" s="2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3"/>
    </row>
    <row r="70" spans="1:38" x14ac:dyDescent="0.25">
      <c r="A70" s="2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3"/>
    </row>
    <row r="71" spans="1:38" x14ac:dyDescent="0.25">
      <c r="A71" s="2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3"/>
    </row>
    <row r="72" spans="1:38" x14ac:dyDescent="0.25">
      <c r="A72" s="2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1" t="s">
        <v>10</v>
      </c>
      <c r="Q72" s="1" t="s">
        <v>12</v>
      </c>
      <c r="R72" s="8" t="s">
        <v>11</v>
      </c>
      <c r="S72" s="1" t="s">
        <v>13</v>
      </c>
      <c r="T72" s="1" t="s">
        <v>19</v>
      </c>
      <c r="U72" s="1" t="s">
        <v>14</v>
      </c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3"/>
    </row>
    <row r="73" spans="1:38" x14ac:dyDescent="0.25">
      <c r="A73" s="2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1">
        <f>P17</f>
        <v>49</v>
      </c>
      <c r="Q73" s="1">
        <f>P18</f>
        <v>0</v>
      </c>
      <c r="R73" s="1">
        <f>$U$73*(P73-$U$74)*(P73-$U$75)+(P73-$U$74)/($U$75-$U$74)</f>
        <v>0.17276422872341232</v>
      </c>
      <c r="S73" s="1">
        <f>(R73-Q73)*(R73-Q73)</f>
        <v>2.9847478726395527E-2</v>
      </c>
      <c r="T73" s="1">
        <f>ABS(R73-Q73)</f>
        <v>0.17276422872341232</v>
      </c>
      <c r="U73" s="1">
        <v>0</v>
      </c>
      <c r="V73" s="22" t="s">
        <v>37</v>
      </c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3"/>
    </row>
    <row r="74" spans="1:38" x14ac:dyDescent="0.25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1">
        <f>Q17</f>
        <v>50</v>
      </c>
      <c r="Q74" s="1">
        <f>Q18</f>
        <v>0.375</v>
      </c>
      <c r="R74" s="1">
        <f t="shared" ref="R74:R76" si="19">$U$73*(P74-$U$74)*(P74-$U$75)+(P74-$U$74)/($U$75-$U$74)</f>
        <v>0.24796748065764757</v>
      </c>
      <c r="S74" s="1">
        <f t="shared" ref="S74:S76" si="20">(R74-Q74)*(R74-Q74)</f>
        <v>1.6137260970465146E-2</v>
      </c>
      <c r="T74" s="1">
        <f t="shared" ref="T74:T76" si="21">ABS(R74-Q74)</f>
        <v>0.12703251934235243</v>
      </c>
      <c r="U74" s="1">
        <v>46.70270268532412</v>
      </c>
      <c r="V74" s="22" t="s">
        <v>38</v>
      </c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3"/>
    </row>
    <row r="75" spans="1:38" x14ac:dyDescent="0.25">
      <c r="A75" s="2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1">
        <f>R17</f>
        <v>55</v>
      </c>
      <c r="Q75" s="1">
        <f>R18</f>
        <v>0.75</v>
      </c>
      <c r="R75" s="1">
        <f t="shared" si="19"/>
        <v>0.62398374032882375</v>
      </c>
      <c r="S75" s="1">
        <f t="shared" si="20"/>
        <v>1.5880097701513319E-2</v>
      </c>
      <c r="T75" s="1">
        <f t="shared" si="21"/>
        <v>0.12601625967117625</v>
      </c>
      <c r="U75" s="1">
        <v>60</v>
      </c>
      <c r="V75" s="22" t="s">
        <v>39</v>
      </c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3"/>
    </row>
    <row r="76" spans="1:38" ht="15.75" thickBot="1" x14ac:dyDescent="0.3">
      <c r="A76" s="2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1">
        <f>S17</f>
        <v>60</v>
      </c>
      <c r="Q76" s="1">
        <f>S18</f>
        <v>1</v>
      </c>
      <c r="R76" s="1">
        <f t="shared" si="19"/>
        <v>1</v>
      </c>
      <c r="S76" s="1">
        <f t="shared" si="20"/>
        <v>0</v>
      </c>
      <c r="T76" s="1">
        <f t="shared" si="21"/>
        <v>0</v>
      </c>
      <c r="U76" s="1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3"/>
    </row>
    <row r="77" spans="1:38" ht="15.75" thickBot="1" x14ac:dyDescent="0.3">
      <c r="A77" s="2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1"/>
      <c r="Q77" s="1"/>
      <c r="R77" s="1"/>
      <c r="S77" s="12">
        <f>SUM(S73:S76)</f>
        <v>6.1864837398373992E-2</v>
      </c>
      <c r="T77" s="10">
        <f>SUM(T73:T76)</f>
        <v>0.42581300773694097</v>
      </c>
      <c r="U77" s="1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3"/>
    </row>
    <row r="78" spans="1:38" x14ac:dyDescent="0.25">
      <c r="A78" s="2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3"/>
    </row>
    <row r="79" spans="1:38" x14ac:dyDescent="0.25">
      <c r="A79" s="2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>
        <f>U74</f>
        <v>46.70270268532412</v>
      </c>
      <c r="Q79" s="22">
        <v>0</v>
      </c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3"/>
    </row>
    <row r="80" spans="1:38" x14ac:dyDescent="0.25">
      <c r="A80" s="2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3"/>
    </row>
    <row r="81" spans="1:38" x14ac:dyDescent="0.25">
      <c r="A81" s="2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3"/>
    </row>
    <row r="82" spans="1:38" x14ac:dyDescent="0.25">
      <c r="A82" s="2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3"/>
    </row>
    <row r="83" spans="1:38" x14ac:dyDescent="0.25">
      <c r="A83" s="2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3"/>
    </row>
    <row r="84" spans="1:38" x14ac:dyDescent="0.25">
      <c r="A84" s="2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3"/>
    </row>
    <row r="85" spans="1:38" x14ac:dyDescent="0.25">
      <c r="A85" s="2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3"/>
    </row>
    <row r="86" spans="1:38" x14ac:dyDescent="0.25">
      <c r="A86" s="2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3"/>
    </row>
    <row r="87" spans="1:38" x14ac:dyDescent="0.25">
      <c r="A87" s="2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3"/>
    </row>
    <row r="88" spans="1:38" ht="15.75" thickBot="1" x14ac:dyDescent="0.3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1"/>
    </row>
  </sheetData>
  <sortState xmlns:xlrd2="http://schemas.microsoft.com/office/spreadsheetml/2017/richdata2" ref="AJ14:AJ17">
    <sortCondition ref="AJ14:AJ17"/>
  </sortState>
  <mergeCells count="14">
    <mergeCell ref="A17:C17"/>
    <mergeCell ref="A28:C28"/>
    <mergeCell ref="A39:C39"/>
    <mergeCell ref="A50:C50"/>
    <mergeCell ref="P30:Q30"/>
    <mergeCell ref="AI41:AJ41"/>
    <mergeCell ref="AK41:AL41"/>
    <mergeCell ref="AM41:AN41"/>
    <mergeCell ref="AI37:AJ37"/>
    <mergeCell ref="AK37:AL37"/>
    <mergeCell ref="AM37:AN37"/>
    <mergeCell ref="AI38:AJ38"/>
    <mergeCell ref="AK38:AL38"/>
    <mergeCell ref="AM38:AN3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64DB-73C5-4FEC-B40C-4CEE7DE7B038}">
  <dimension ref="B2:E6"/>
  <sheetViews>
    <sheetView workbookViewId="0">
      <selection activeCell="D11" sqref="D11"/>
    </sheetView>
  </sheetViews>
  <sheetFormatPr defaultRowHeight="15" x14ac:dyDescent="0.25"/>
  <cols>
    <col min="2" max="2" width="21.140625" customWidth="1"/>
    <col min="3" max="3" width="15.7109375" customWidth="1"/>
    <col min="4" max="4" width="22.140625" customWidth="1"/>
    <col min="5" max="5" width="31.85546875" customWidth="1"/>
  </cols>
  <sheetData>
    <row r="2" spans="2:5" ht="31.5" x14ac:dyDescent="0.25">
      <c r="B2" s="32" t="s">
        <v>20</v>
      </c>
      <c r="C2" s="32" t="s">
        <v>21</v>
      </c>
      <c r="D2" s="32" t="s">
        <v>33</v>
      </c>
      <c r="E2" s="32" t="s">
        <v>22</v>
      </c>
    </row>
    <row r="3" spans="2:5" ht="52.5" customHeight="1" x14ac:dyDescent="0.25">
      <c r="B3" s="32" t="s">
        <v>23</v>
      </c>
      <c r="C3" s="32" t="s">
        <v>24</v>
      </c>
      <c r="D3" s="32" t="s">
        <v>34</v>
      </c>
      <c r="E3" s="32" t="s">
        <v>25</v>
      </c>
    </row>
    <row r="4" spans="2:5" ht="47.25" x14ac:dyDescent="0.25">
      <c r="B4" s="32" t="s">
        <v>23</v>
      </c>
      <c r="C4" s="32" t="s">
        <v>26</v>
      </c>
      <c r="D4" s="32" t="s">
        <v>35</v>
      </c>
      <c r="E4" s="32" t="s">
        <v>27</v>
      </c>
    </row>
    <row r="5" spans="2:5" ht="31.5" x14ac:dyDescent="0.25">
      <c r="B5" s="32" t="s">
        <v>28</v>
      </c>
      <c r="C5" s="32" t="s">
        <v>29</v>
      </c>
      <c r="D5" s="32" t="s">
        <v>36</v>
      </c>
      <c r="E5" s="32" t="s">
        <v>30</v>
      </c>
    </row>
    <row r="6" spans="2:5" ht="31.5" x14ac:dyDescent="0.25">
      <c r="B6" s="32" t="s">
        <v>28</v>
      </c>
      <c r="C6" s="32" t="s">
        <v>31</v>
      </c>
      <c r="D6" s="32" t="s">
        <v>36</v>
      </c>
      <c r="E6" s="32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Microsoft Office</cp:lastModifiedBy>
  <dcterms:created xsi:type="dcterms:W3CDTF">2025-11-27T11:19:01Z</dcterms:created>
  <dcterms:modified xsi:type="dcterms:W3CDTF">2025-12-17T09:20:21Z</dcterms:modified>
</cp:coreProperties>
</file>