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 Vivo Book\Загрузки\"/>
    </mc:Choice>
  </mc:AlternateContent>
  <xr:revisionPtr revIDLastSave="0" documentId="13_ncr:1_{674B8A42-3902-412A-910C-C2BC372A46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2" i="1"/>
  <c r="C2" i="1"/>
  <c r="H702" i="1"/>
  <c r="D702" i="1"/>
  <c r="B702" i="1"/>
  <c r="C702" i="1" s="1"/>
  <c r="B701" i="1"/>
  <c r="H700" i="1"/>
  <c r="D700" i="1"/>
  <c r="B700" i="1"/>
  <c r="C700" i="1" s="1"/>
  <c r="B699" i="1"/>
  <c r="H698" i="1"/>
  <c r="D698" i="1"/>
  <c r="B698" i="1"/>
  <c r="C698" i="1" s="1"/>
  <c r="B697" i="1"/>
  <c r="H696" i="1"/>
  <c r="D696" i="1"/>
  <c r="B696" i="1"/>
  <c r="C696" i="1" s="1"/>
  <c r="B695" i="1"/>
  <c r="H694" i="1"/>
  <c r="D694" i="1"/>
  <c r="B694" i="1"/>
  <c r="C694" i="1" s="1"/>
  <c r="B693" i="1"/>
  <c r="H692" i="1"/>
  <c r="D692" i="1"/>
  <c r="B692" i="1"/>
  <c r="C692" i="1" s="1"/>
  <c r="B691" i="1"/>
  <c r="H690" i="1"/>
  <c r="D690" i="1"/>
  <c r="B690" i="1"/>
  <c r="C690" i="1" s="1"/>
  <c r="B689" i="1"/>
  <c r="H688" i="1"/>
  <c r="D688" i="1"/>
  <c r="B688" i="1"/>
  <c r="C688" i="1" s="1"/>
  <c r="B687" i="1"/>
  <c r="H686" i="1"/>
  <c r="D686" i="1"/>
  <c r="B686" i="1"/>
  <c r="C686" i="1" s="1"/>
  <c r="B685" i="1"/>
  <c r="H684" i="1"/>
  <c r="D684" i="1"/>
  <c r="B684" i="1"/>
  <c r="C684" i="1" s="1"/>
  <c r="B683" i="1"/>
  <c r="H682" i="1"/>
  <c r="D682" i="1"/>
  <c r="B682" i="1"/>
  <c r="C682" i="1" s="1"/>
  <c r="B681" i="1"/>
  <c r="H680" i="1"/>
  <c r="D680" i="1"/>
  <c r="B680" i="1"/>
  <c r="C680" i="1" s="1"/>
  <c r="B679" i="1"/>
  <c r="H678" i="1"/>
  <c r="D678" i="1"/>
  <c r="B678" i="1"/>
  <c r="C678" i="1" s="1"/>
  <c r="B677" i="1"/>
  <c r="H676" i="1"/>
  <c r="D676" i="1"/>
  <c r="B676" i="1"/>
  <c r="C676" i="1" s="1"/>
  <c r="B675" i="1"/>
  <c r="H674" i="1"/>
  <c r="D674" i="1"/>
  <c r="B674" i="1"/>
  <c r="C674" i="1" s="1"/>
  <c r="B673" i="1"/>
  <c r="H672" i="1"/>
  <c r="D672" i="1"/>
  <c r="B672" i="1"/>
  <c r="C672" i="1" s="1"/>
  <c r="B671" i="1"/>
  <c r="H670" i="1"/>
  <c r="D670" i="1"/>
  <c r="B670" i="1"/>
  <c r="C670" i="1" s="1"/>
  <c r="B669" i="1"/>
  <c r="H668" i="1"/>
  <c r="D668" i="1"/>
  <c r="B668" i="1"/>
  <c r="C668" i="1" s="1"/>
  <c r="B667" i="1"/>
  <c r="H666" i="1"/>
  <c r="D666" i="1"/>
  <c r="B666" i="1"/>
  <c r="C666" i="1" s="1"/>
  <c r="B665" i="1"/>
  <c r="H664" i="1"/>
  <c r="F664" i="1"/>
  <c r="D664" i="1"/>
  <c r="C664" i="1"/>
  <c r="B664" i="1"/>
  <c r="E664" i="1" s="1"/>
  <c r="G664" i="1" s="1"/>
  <c r="H663" i="1"/>
  <c r="B663" i="1"/>
  <c r="H662" i="1"/>
  <c r="C662" i="1"/>
  <c r="B662" i="1"/>
  <c r="E662" i="1" s="1"/>
  <c r="G662" i="1" s="1"/>
  <c r="B661" i="1"/>
  <c r="H660" i="1"/>
  <c r="F660" i="1"/>
  <c r="C660" i="1"/>
  <c r="B660" i="1"/>
  <c r="E660" i="1" s="1"/>
  <c r="G660" i="1" s="1"/>
  <c r="H659" i="1"/>
  <c r="E659" i="1"/>
  <c r="D659" i="1"/>
  <c r="C659" i="1"/>
  <c r="B659" i="1"/>
  <c r="G658" i="1"/>
  <c r="E658" i="1"/>
  <c r="F658" i="1" s="1"/>
  <c r="C658" i="1"/>
  <c r="B658" i="1"/>
  <c r="H658" i="1" s="1"/>
  <c r="H657" i="1"/>
  <c r="E657" i="1"/>
  <c r="D657" i="1"/>
  <c r="C657" i="1"/>
  <c r="B657" i="1"/>
  <c r="E656" i="1"/>
  <c r="F656" i="1" s="1"/>
  <c r="C656" i="1"/>
  <c r="B656" i="1"/>
  <c r="H656" i="1" s="1"/>
  <c r="H655" i="1"/>
  <c r="E655" i="1"/>
  <c r="D655" i="1"/>
  <c r="C655" i="1"/>
  <c r="B655" i="1"/>
  <c r="G654" i="1"/>
  <c r="E654" i="1"/>
  <c r="F654" i="1" s="1"/>
  <c r="C654" i="1"/>
  <c r="B654" i="1"/>
  <c r="H654" i="1" s="1"/>
  <c r="H653" i="1"/>
  <c r="E653" i="1"/>
  <c r="D653" i="1"/>
  <c r="C653" i="1"/>
  <c r="B653" i="1"/>
  <c r="E652" i="1"/>
  <c r="F652" i="1" s="1"/>
  <c r="C652" i="1"/>
  <c r="B652" i="1"/>
  <c r="H652" i="1" s="1"/>
  <c r="H651" i="1"/>
  <c r="E651" i="1"/>
  <c r="D651" i="1"/>
  <c r="C651" i="1"/>
  <c r="B651" i="1"/>
  <c r="G650" i="1"/>
  <c r="E650" i="1"/>
  <c r="F650" i="1" s="1"/>
  <c r="C650" i="1"/>
  <c r="B650" i="1"/>
  <c r="H650" i="1" s="1"/>
  <c r="H649" i="1"/>
  <c r="E649" i="1"/>
  <c r="D649" i="1"/>
  <c r="C649" i="1"/>
  <c r="B649" i="1"/>
  <c r="E648" i="1"/>
  <c r="F648" i="1" s="1"/>
  <c r="C648" i="1"/>
  <c r="B648" i="1"/>
  <c r="H648" i="1" s="1"/>
  <c r="H647" i="1"/>
  <c r="E647" i="1"/>
  <c r="D647" i="1"/>
  <c r="C647" i="1"/>
  <c r="B647" i="1"/>
  <c r="G646" i="1"/>
  <c r="E646" i="1"/>
  <c r="F646" i="1" s="1"/>
  <c r="C646" i="1"/>
  <c r="B646" i="1"/>
  <c r="H646" i="1" s="1"/>
  <c r="H645" i="1"/>
  <c r="E645" i="1"/>
  <c r="D645" i="1"/>
  <c r="C645" i="1"/>
  <c r="B645" i="1"/>
  <c r="E644" i="1"/>
  <c r="F644" i="1" s="1"/>
  <c r="C644" i="1"/>
  <c r="B644" i="1"/>
  <c r="H644" i="1" s="1"/>
  <c r="H643" i="1"/>
  <c r="E643" i="1"/>
  <c r="D643" i="1"/>
  <c r="C643" i="1"/>
  <c r="B643" i="1"/>
  <c r="G642" i="1"/>
  <c r="E642" i="1"/>
  <c r="F642" i="1" s="1"/>
  <c r="C642" i="1"/>
  <c r="B642" i="1"/>
  <c r="H642" i="1" s="1"/>
  <c r="H641" i="1"/>
  <c r="E641" i="1"/>
  <c r="D641" i="1"/>
  <c r="C641" i="1"/>
  <c r="B641" i="1"/>
  <c r="E640" i="1"/>
  <c r="F640" i="1" s="1"/>
  <c r="C640" i="1"/>
  <c r="B640" i="1"/>
  <c r="H640" i="1" s="1"/>
  <c r="H639" i="1"/>
  <c r="E639" i="1"/>
  <c r="D639" i="1"/>
  <c r="C639" i="1"/>
  <c r="B639" i="1"/>
  <c r="G638" i="1"/>
  <c r="E638" i="1"/>
  <c r="F638" i="1" s="1"/>
  <c r="C638" i="1"/>
  <c r="B638" i="1"/>
  <c r="H638" i="1" s="1"/>
  <c r="H637" i="1"/>
  <c r="E637" i="1"/>
  <c r="D637" i="1"/>
  <c r="C637" i="1"/>
  <c r="B637" i="1"/>
  <c r="E636" i="1"/>
  <c r="F636" i="1" s="1"/>
  <c r="C636" i="1"/>
  <c r="B636" i="1"/>
  <c r="H636" i="1" s="1"/>
  <c r="H635" i="1"/>
  <c r="E635" i="1"/>
  <c r="D635" i="1"/>
  <c r="C635" i="1"/>
  <c r="B635" i="1"/>
  <c r="G634" i="1"/>
  <c r="E634" i="1"/>
  <c r="F634" i="1" s="1"/>
  <c r="C634" i="1"/>
  <c r="B634" i="1"/>
  <c r="H634" i="1" s="1"/>
  <c r="H633" i="1"/>
  <c r="E633" i="1"/>
  <c r="D633" i="1"/>
  <c r="C633" i="1"/>
  <c r="B633" i="1"/>
  <c r="E632" i="1"/>
  <c r="F632" i="1" s="1"/>
  <c r="C632" i="1"/>
  <c r="B632" i="1"/>
  <c r="H632" i="1" s="1"/>
  <c r="H631" i="1"/>
  <c r="E631" i="1"/>
  <c r="D631" i="1"/>
  <c r="C631" i="1"/>
  <c r="B631" i="1"/>
  <c r="G630" i="1"/>
  <c r="E630" i="1"/>
  <c r="F630" i="1" s="1"/>
  <c r="C630" i="1"/>
  <c r="B630" i="1"/>
  <c r="H630" i="1" s="1"/>
  <c r="H629" i="1"/>
  <c r="E629" i="1"/>
  <c r="D629" i="1"/>
  <c r="C629" i="1"/>
  <c r="B629" i="1"/>
  <c r="E628" i="1"/>
  <c r="F628" i="1" s="1"/>
  <c r="C628" i="1"/>
  <c r="B628" i="1"/>
  <c r="H628" i="1" s="1"/>
  <c r="H627" i="1"/>
  <c r="E627" i="1"/>
  <c r="D627" i="1"/>
  <c r="C627" i="1"/>
  <c r="B627" i="1"/>
  <c r="G626" i="1"/>
  <c r="E626" i="1"/>
  <c r="F626" i="1" s="1"/>
  <c r="C626" i="1"/>
  <c r="B626" i="1"/>
  <c r="H626" i="1" s="1"/>
  <c r="H625" i="1"/>
  <c r="E625" i="1"/>
  <c r="D625" i="1"/>
  <c r="C625" i="1"/>
  <c r="B625" i="1"/>
  <c r="E624" i="1"/>
  <c r="F624" i="1" s="1"/>
  <c r="C624" i="1"/>
  <c r="B624" i="1"/>
  <c r="H624" i="1" s="1"/>
  <c r="H623" i="1"/>
  <c r="E623" i="1"/>
  <c r="D623" i="1"/>
  <c r="C623" i="1"/>
  <c r="B623" i="1"/>
  <c r="G622" i="1"/>
  <c r="E622" i="1"/>
  <c r="F622" i="1" s="1"/>
  <c r="C622" i="1"/>
  <c r="B622" i="1"/>
  <c r="H622" i="1" s="1"/>
  <c r="H621" i="1"/>
  <c r="E621" i="1"/>
  <c r="D621" i="1"/>
  <c r="C621" i="1"/>
  <c r="B621" i="1"/>
  <c r="E620" i="1"/>
  <c r="F620" i="1" s="1"/>
  <c r="C620" i="1"/>
  <c r="B620" i="1"/>
  <c r="H620" i="1" s="1"/>
  <c r="H619" i="1"/>
  <c r="E619" i="1"/>
  <c r="D619" i="1"/>
  <c r="C619" i="1"/>
  <c r="B619" i="1"/>
  <c r="G618" i="1"/>
  <c r="E618" i="1"/>
  <c r="F618" i="1" s="1"/>
  <c r="C618" i="1"/>
  <c r="B618" i="1"/>
  <c r="H618" i="1" s="1"/>
  <c r="H617" i="1"/>
  <c r="E617" i="1"/>
  <c r="D617" i="1"/>
  <c r="C617" i="1"/>
  <c r="B617" i="1"/>
  <c r="E616" i="1"/>
  <c r="F616" i="1" s="1"/>
  <c r="C616" i="1"/>
  <c r="B616" i="1"/>
  <c r="H616" i="1" s="1"/>
  <c r="H615" i="1"/>
  <c r="E615" i="1"/>
  <c r="D615" i="1"/>
  <c r="C615" i="1"/>
  <c r="B615" i="1"/>
  <c r="B614" i="1"/>
  <c r="H613" i="1"/>
  <c r="E613" i="1"/>
  <c r="D613" i="1"/>
  <c r="C613" i="1"/>
  <c r="B613" i="1"/>
  <c r="C612" i="1"/>
  <c r="B612" i="1"/>
  <c r="H611" i="1"/>
  <c r="E611" i="1"/>
  <c r="D611" i="1"/>
  <c r="C611" i="1"/>
  <c r="B611" i="1"/>
  <c r="B610" i="1"/>
  <c r="H609" i="1"/>
  <c r="E609" i="1"/>
  <c r="D609" i="1"/>
  <c r="C609" i="1"/>
  <c r="B609" i="1"/>
  <c r="B608" i="1"/>
  <c r="H607" i="1"/>
  <c r="E607" i="1"/>
  <c r="D607" i="1"/>
  <c r="C607" i="1"/>
  <c r="B607" i="1"/>
  <c r="B606" i="1"/>
  <c r="H605" i="1"/>
  <c r="E605" i="1"/>
  <c r="D605" i="1"/>
  <c r="C605" i="1"/>
  <c r="B605" i="1"/>
  <c r="C604" i="1"/>
  <c r="B604" i="1"/>
  <c r="H603" i="1"/>
  <c r="E603" i="1"/>
  <c r="D603" i="1"/>
  <c r="C603" i="1"/>
  <c r="B603" i="1"/>
  <c r="B602" i="1"/>
  <c r="H601" i="1"/>
  <c r="E601" i="1"/>
  <c r="D601" i="1"/>
  <c r="C601" i="1"/>
  <c r="B601" i="1"/>
  <c r="B600" i="1"/>
  <c r="H599" i="1"/>
  <c r="E599" i="1"/>
  <c r="D599" i="1"/>
  <c r="C599" i="1"/>
  <c r="B599" i="1"/>
  <c r="B598" i="1"/>
  <c r="H597" i="1"/>
  <c r="E597" i="1"/>
  <c r="D597" i="1"/>
  <c r="C597" i="1"/>
  <c r="B597" i="1"/>
  <c r="C596" i="1"/>
  <c r="B596" i="1"/>
  <c r="H595" i="1"/>
  <c r="E595" i="1"/>
  <c r="D595" i="1"/>
  <c r="C595" i="1"/>
  <c r="B595" i="1"/>
  <c r="B594" i="1"/>
  <c r="H593" i="1"/>
  <c r="E593" i="1"/>
  <c r="D593" i="1"/>
  <c r="C593" i="1"/>
  <c r="B593" i="1"/>
  <c r="B592" i="1"/>
  <c r="H591" i="1"/>
  <c r="E591" i="1"/>
  <c r="F591" i="1" s="1"/>
  <c r="D591" i="1"/>
  <c r="C591" i="1"/>
  <c r="B591" i="1"/>
  <c r="B590" i="1"/>
  <c r="H589" i="1"/>
  <c r="G589" i="1"/>
  <c r="E589" i="1"/>
  <c r="F589" i="1" s="1"/>
  <c r="D589" i="1"/>
  <c r="C589" i="1"/>
  <c r="B589" i="1"/>
  <c r="B588" i="1"/>
  <c r="H587" i="1"/>
  <c r="E587" i="1"/>
  <c r="F587" i="1" s="1"/>
  <c r="D587" i="1"/>
  <c r="C587" i="1"/>
  <c r="B587" i="1"/>
  <c r="B586" i="1"/>
  <c r="H585" i="1"/>
  <c r="G585" i="1"/>
  <c r="E585" i="1"/>
  <c r="F585" i="1" s="1"/>
  <c r="D585" i="1"/>
  <c r="C585" i="1"/>
  <c r="B585" i="1"/>
  <c r="C584" i="1"/>
  <c r="B584" i="1"/>
  <c r="H583" i="1"/>
  <c r="G583" i="1"/>
  <c r="E583" i="1"/>
  <c r="F583" i="1" s="1"/>
  <c r="D583" i="1"/>
  <c r="C583" i="1"/>
  <c r="B583" i="1"/>
  <c r="E582" i="1"/>
  <c r="F582" i="1" s="1"/>
  <c r="D582" i="1"/>
  <c r="C582" i="1"/>
  <c r="B582" i="1"/>
  <c r="H582" i="1" s="1"/>
  <c r="B581" i="1"/>
  <c r="H580" i="1"/>
  <c r="G580" i="1"/>
  <c r="E580" i="1"/>
  <c r="F580" i="1" s="1"/>
  <c r="D580" i="1"/>
  <c r="C580" i="1"/>
  <c r="B580" i="1"/>
  <c r="B579" i="1"/>
  <c r="H578" i="1"/>
  <c r="E578" i="1"/>
  <c r="D578" i="1"/>
  <c r="C578" i="1"/>
  <c r="B578" i="1"/>
  <c r="B577" i="1"/>
  <c r="H576" i="1"/>
  <c r="E576" i="1"/>
  <c r="D576" i="1"/>
  <c r="C576" i="1"/>
  <c r="B576" i="1"/>
  <c r="B575" i="1"/>
  <c r="H574" i="1"/>
  <c r="E574" i="1"/>
  <c r="D574" i="1"/>
  <c r="C574" i="1"/>
  <c r="B574" i="1"/>
  <c r="B573" i="1"/>
  <c r="H572" i="1"/>
  <c r="E572" i="1"/>
  <c r="D572" i="1"/>
  <c r="C572" i="1"/>
  <c r="B572" i="1"/>
  <c r="B571" i="1"/>
  <c r="H570" i="1"/>
  <c r="E570" i="1"/>
  <c r="D570" i="1"/>
  <c r="C570" i="1"/>
  <c r="B570" i="1"/>
  <c r="B569" i="1"/>
  <c r="H568" i="1"/>
  <c r="E568" i="1"/>
  <c r="F568" i="1" s="1"/>
  <c r="D568" i="1"/>
  <c r="C568" i="1"/>
  <c r="B568" i="1"/>
  <c r="B567" i="1"/>
  <c r="H566" i="1"/>
  <c r="E566" i="1"/>
  <c r="F566" i="1" s="1"/>
  <c r="D566" i="1"/>
  <c r="C566" i="1"/>
  <c r="B566" i="1"/>
  <c r="B565" i="1"/>
  <c r="H564" i="1"/>
  <c r="E564" i="1"/>
  <c r="D564" i="1"/>
  <c r="C564" i="1"/>
  <c r="B564" i="1"/>
  <c r="B563" i="1"/>
  <c r="H562" i="1"/>
  <c r="E562" i="1"/>
  <c r="F562" i="1" s="1"/>
  <c r="D562" i="1"/>
  <c r="C562" i="1"/>
  <c r="B562" i="1"/>
  <c r="B561" i="1"/>
  <c r="H560" i="1"/>
  <c r="G560" i="1"/>
  <c r="E560" i="1"/>
  <c r="F560" i="1" s="1"/>
  <c r="D560" i="1"/>
  <c r="C560" i="1"/>
  <c r="B560" i="1"/>
  <c r="B559" i="1"/>
  <c r="H558" i="1"/>
  <c r="E558" i="1"/>
  <c r="F558" i="1" s="1"/>
  <c r="D558" i="1"/>
  <c r="C558" i="1"/>
  <c r="B558" i="1"/>
  <c r="B557" i="1"/>
  <c r="H556" i="1"/>
  <c r="E556" i="1"/>
  <c r="D556" i="1"/>
  <c r="C556" i="1"/>
  <c r="B556" i="1"/>
  <c r="B555" i="1"/>
  <c r="C554" i="1"/>
  <c r="B554" i="1"/>
  <c r="H553" i="1"/>
  <c r="E553" i="1"/>
  <c r="D553" i="1"/>
  <c r="B553" i="1"/>
  <c r="C553" i="1" s="1"/>
  <c r="C552" i="1"/>
  <c r="B552" i="1"/>
  <c r="H551" i="1"/>
  <c r="E551" i="1"/>
  <c r="D551" i="1"/>
  <c r="B551" i="1"/>
  <c r="C551" i="1" s="1"/>
  <c r="C550" i="1"/>
  <c r="B550" i="1"/>
  <c r="H549" i="1"/>
  <c r="E549" i="1"/>
  <c r="D549" i="1"/>
  <c r="B549" i="1"/>
  <c r="C549" i="1" s="1"/>
  <c r="C548" i="1"/>
  <c r="B548" i="1"/>
  <c r="H547" i="1"/>
  <c r="E547" i="1"/>
  <c r="D547" i="1"/>
  <c r="B547" i="1"/>
  <c r="C547" i="1" s="1"/>
  <c r="C546" i="1"/>
  <c r="B546" i="1"/>
  <c r="H545" i="1"/>
  <c r="E545" i="1"/>
  <c r="D545" i="1"/>
  <c r="B545" i="1"/>
  <c r="C545" i="1" s="1"/>
  <c r="C544" i="1"/>
  <c r="B544" i="1"/>
  <c r="H543" i="1"/>
  <c r="E543" i="1"/>
  <c r="D543" i="1"/>
  <c r="C543" i="1"/>
  <c r="B543" i="1"/>
  <c r="B542" i="1"/>
  <c r="H541" i="1"/>
  <c r="E541" i="1"/>
  <c r="D541" i="1"/>
  <c r="C541" i="1"/>
  <c r="B541" i="1"/>
  <c r="B540" i="1"/>
  <c r="H539" i="1"/>
  <c r="E539" i="1"/>
  <c r="D539" i="1"/>
  <c r="C539" i="1"/>
  <c r="B539" i="1"/>
  <c r="C538" i="1"/>
  <c r="B538" i="1"/>
  <c r="H537" i="1"/>
  <c r="E537" i="1"/>
  <c r="D537" i="1"/>
  <c r="C537" i="1"/>
  <c r="B537" i="1"/>
  <c r="C536" i="1"/>
  <c r="B536" i="1"/>
  <c r="H535" i="1"/>
  <c r="E535" i="1"/>
  <c r="D535" i="1"/>
  <c r="C535" i="1"/>
  <c r="B535" i="1"/>
  <c r="B534" i="1"/>
  <c r="H533" i="1"/>
  <c r="E533" i="1"/>
  <c r="D533" i="1"/>
  <c r="C533" i="1"/>
  <c r="B533" i="1"/>
  <c r="B532" i="1"/>
  <c r="H531" i="1"/>
  <c r="E531" i="1"/>
  <c r="D531" i="1"/>
  <c r="C531" i="1"/>
  <c r="B531" i="1"/>
  <c r="C530" i="1"/>
  <c r="B530" i="1"/>
  <c r="H529" i="1"/>
  <c r="E529" i="1"/>
  <c r="D529" i="1"/>
  <c r="C529" i="1"/>
  <c r="B529" i="1"/>
  <c r="C528" i="1"/>
  <c r="B528" i="1"/>
  <c r="H527" i="1"/>
  <c r="E527" i="1"/>
  <c r="D527" i="1"/>
  <c r="C527" i="1"/>
  <c r="B527" i="1"/>
  <c r="B526" i="1"/>
  <c r="H525" i="1"/>
  <c r="E525" i="1"/>
  <c r="D525" i="1"/>
  <c r="C525" i="1"/>
  <c r="B525" i="1"/>
  <c r="B524" i="1"/>
  <c r="H523" i="1"/>
  <c r="E523" i="1"/>
  <c r="D523" i="1"/>
  <c r="C523" i="1"/>
  <c r="B523" i="1"/>
  <c r="E522" i="1"/>
  <c r="C522" i="1"/>
  <c r="B522" i="1"/>
  <c r="H521" i="1"/>
  <c r="E521" i="1"/>
  <c r="D521" i="1"/>
  <c r="B521" i="1"/>
  <c r="C521" i="1" s="1"/>
  <c r="C520" i="1"/>
  <c r="B520" i="1"/>
  <c r="H519" i="1"/>
  <c r="E519" i="1"/>
  <c r="D519" i="1"/>
  <c r="B519" i="1"/>
  <c r="C519" i="1" s="1"/>
  <c r="C518" i="1"/>
  <c r="B518" i="1"/>
  <c r="H517" i="1"/>
  <c r="E517" i="1"/>
  <c r="D517" i="1"/>
  <c r="B517" i="1"/>
  <c r="C517" i="1" s="1"/>
  <c r="G516" i="1"/>
  <c r="E516" i="1"/>
  <c r="F516" i="1" s="1"/>
  <c r="B516" i="1"/>
  <c r="H515" i="1"/>
  <c r="E515" i="1"/>
  <c r="D515" i="1"/>
  <c r="C515" i="1"/>
  <c r="B515" i="1"/>
  <c r="B514" i="1"/>
  <c r="H513" i="1"/>
  <c r="G513" i="1"/>
  <c r="E513" i="1"/>
  <c r="F513" i="1" s="1"/>
  <c r="D513" i="1"/>
  <c r="C513" i="1"/>
  <c r="B513" i="1"/>
  <c r="E512" i="1"/>
  <c r="B512" i="1"/>
  <c r="H511" i="1"/>
  <c r="E511" i="1"/>
  <c r="F511" i="1" s="1"/>
  <c r="D511" i="1"/>
  <c r="C511" i="1"/>
  <c r="B511" i="1"/>
  <c r="B510" i="1"/>
  <c r="H509" i="1"/>
  <c r="G509" i="1"/>
  <c r="E509" i="1"/>
  <c r="F509" i="1" s="1"/>
  <c r="D509" i="1"/>
  <c r="C509" i="1"/>
  <c r="B509" i="1"/>
  <c r="F508" i="1"/>
  <c r="E508" i="1"/>
  <c r="G508" i="1" s="1"/>
  <c r="B508" i="1"/>
  <c r="H507" i="1"/>
  <c r="E507" i="1"/>
  <c r="D507" i="1"/>
  <c r="C507" i="1"/>
  <c r="B507" i="1"/>
  <c r="B506" i="1"/>
  <c r="H505" i="1"/>
  <c r="G505" i="1"/>
  <c r="E505" i="1"/>
  <c r="F505" i="1" s="1"/>
  <c r="D505" i="1"/>
  <c r="C505" i="1"/>
  <c r="B505" i="1"/>
  <c r="B504" i="1"/>
  <c r="H503" i="1"/>
  <c r="E503" i="1"/>
  <c r="F503" i="1" s="1"/>
  <c r="D503" i="1"/>
  <c r="C503" i="1"/>
  <c r="B503" i="1"/>
  <c r="B502" i="1"/>
  <c r="H501" i="1"/>
  <c r="E501" i="1"/>
  <c r="D501" i="1"/>
  <c r="C501" i="1"/>
  <c r="B501" i="1"/>
  <c r="E500" i="1"/>
  <c r="G500" i="1" s="1"/>
  <c r="B500" i="1"/>
  <c r="H499" i="1"/>
  <c r="E499" i="1"/>
  <c r="D499" i="1"/>
  <c r="C499" i="1"/>
  <c r="B499" i="1"/>
  <c r="B498" i="1"/>
  <c r="H497" i="1"/>
  <c r="G497" i="1"/>
  <c r="E497" i="1"/>
  <c r="F497" i="1" s="1"/>
  <c r="D497" i="1"/>
  <c r="C497" i="1"/>
  <c r="B497" i="1"/>
  <c r="B496" i="1"/>
  <c r="H495" i="1"/>
  <c r="E495" i="1"/>
  <c r="F495" i="1" s="1"/>
  <c r="D495" i="1"/>
  <c r="C495" i="1"/>
  <c r="B495" i="1"/>
  <c r="B494" i="1"/>
  <c r="H493" i="1"/>
  <c r="E493" i="1"/>
  <c r="F493" i="1" s="1"/>
  <c r="D493" i="1"/>
  <c r="C493" i="1"/>
  <c r="B493" i="1"/>
  <c r="E492" i="1"/>
  <c r="B492" i="1"/>
  <c r="H491" i="1"/>
  <c r="E491" i="1"/>
  <c r="D491" i="1"/>
  <c r="C491" i="1"/>
  <c r="B491" i="1"/>
  <c r="E490" i="1"/>
  <c r="B490" i="1"/>
  <c r="H489" i="1"/>
  <c r="G489" i="1"/>
  <c r="E489" i="1"/>
  <c r="F489" i="1" s="1"/>
  <c r="D489" i="1"/>
  <c r="C489" i="1"/>
  <c r="B489" i="1"/>
  <c r="B488" i="1"/>
  <c r="H487" i="1"/>
  <c r="E487" i="1"/>
  <c r="D487" i="1"/>
  <c r="C487" i="1"/>
  <c r="B487" i="1"/>
  <c r="B486" i="1"/>
  <c r="H485" i="1"/>
  <c r="E485" i="1"/>
  <c r="F485" i="1" s="1"/>
  <c r="D485" i="1"/>
  <c r="C485" i="1"/>
  <c r="B485" i="1"/>
  <c r="G484" i="1"/>
  <c r="E484" i="1"/>
  <c r="F484" i="1" s="1"/>
  <c r="B484" i="1"/>
  <c r="H483" i="1"/>
  <c r="E483" i="1"/>
  <c r="D483" i="1"/>
  <c r="C483" i="1"/>
  <c r="B483" i="1"/>
  <c r="B482" i="1"/>
  <c r="H481" i="1"/>
  <c r="G481" i="1"/>
  <c r="E481" i="1"/>
  <c r="F481" i="1" s="1"/>
  <c r="D481" i="1"/>
  <c r="C481" i="1"/>
  <c r="B481" i="1"/>
  <c r="E480" i="1"/>
  <c r="B480" i="1"/>
  <c r="H479" i="1"/>
  <c r="E479" i="1"/>
  <c r="F479" i="1" s="1"/>
  <c r="D479" i="1"/>
  <c r="C479" i="1"/>
  <c r="B479" i="1"/>
  <c r="B478" i="1"/>
  <c r="H477" i="1"/>
  <c r="E477" i="1"/>
  <c r="F477" i="1" s="1"/>
  <c r="D477" i="1"/>
  <c r="C477" i="1"/>
  <c r="B477" i="1"/>
  <c r="G476" i="1"/>
  <c r="F476" i="1"/>
  <c r="E476" i="1"/>
  <c r="B476" i="1"/>
  <c r="H475" i="1"/>
  <c r="E475" i="1"/>
  <c r="D475" i="1"/>
  <c r="C475" i="1"/>
  <c r="B475" i="1"/>
  <c r="B474" i="1"/>
  <c r="H473" i="1"/>
  <c r="E473" i="1"/>
  <c r="F473" i="1" s="1"/>
  <c r="D473" i="1"/>
  <c r="C473" i="1"/>
  <c r="B473" i="1"/>
  <c r="B472" i="1"/>
  <c r="H471" i="1"/>
  <c r="G471" i="1"/>
  <c r="E471" i="1"/>
  <c r="F471" i="1" s="1"/>
  <c r="D471" i="1"/>
  <c r="C471" i="1"/>
  <c r="B471" i="1"/>
  <c r="B470" i="1"/>
  <c r="H469" i="1"/>
  <c r="E469" i="1"/>
  <c r="D469" i="1"/>
  <c r="C469" i="1"/>
  <c r="B469" i="1"/>
  <c r="F468" i="1"/>
  <c r="E468" i="1"/>
  <c r="G468" i="1" s="1"/>
  <c r="B468" i="1"/>
  <c r="H467" i="1"/>
  <c r="E467" i="1"/>
  <c r="D467" i="1"/>
  <c r="C467" i="1"/>
  <c r="B467" i="1"/>
  <c r="B466" i="1"/>
  <c r="H465" i="1"/>
  <c r="E465" i="1"/>
  <c r="F465" i="1" s="1"/>
  <c r="D465" i="1"/>
  <c r="C465" i="1"/>
  <c r="B465" i="1"/>
  <c r="B464" i="1"/>
  <c r="H463" i="1"/>
  <c r="G463" i="1"/>
  <c r="E463" i="1"/>
  <c r="F463" i="1" s="1"/>
  <c r="D463" i="1"/>
  <c r="C463" i="1"/>
  <c r="B463" i="1"/>
  <c r="B462" i="1"/>
  <c r="H461" i="1"/>
  <c r="E461" i="1"/>
  <c r="F461" i="1" s="1"/>
  <c r="D461" i="1"/>
  <c r="C461" i="1"/>
  <c r="B461" i="1"/>
  <c r="E460" i="1"/>
  <c r="B460" i="1"/>
  <c r="H459" i="1"/>
  <c r="E459" i="1"/>
  <c r="D459" i="1"/>
  <c r="C459" i="1"/>
  <c r="B459" i="1"/>
  <c r="E458" i="1"/>
  <c r="B458" i="1"/>
  <c r="H457" i="1"/>
  <c r="E457" i="1"/>
  <c r="F457" i="1" s="1"/>
  <c r="D457" i="1"/>
  <c r="C457" i="1"/>
  <c r="B457" i="1"/>
  <c r="B456" i="1"/>
  <c r="H455" i="1"/>
  <c r="E455" i="1"/>
  <c r="D455" i="1"/>
  <c r="C455" i="1"/>
  <c r="B455" i="1"/>
  <c r="B454" i="1"/>
  <c r="H453" i="1"/>
  <c r="E453" i="1"/>
  <c r="F453" i="1" s="1"/>
  <c r="D453" i="1"/>
  <c r="C453" i="1"/>
  <c r="B453" i="1"/>
  <c r="G452" i="1"/>
  <c r="E452" i="1"/>
  <c r="F452" i="1" s="1"/>
  <c r="B452" i="1"/>
  <c r="H451" i="1"/>
  <c r="E451" i="1"/>
  <c r="D451" i="1"/>
  <c r="C451" i="1"/>
  <c r="B451" i="1"/>
  <c r="B450" i="1"/>
  <c r="H449" i="1"/>
  <c r="D449" i="1"/>
  <c r="C449" i="1"/>
  <c r="B449" i="1"/>
  <c r="E449" i="1" s="1"/>
  <c r="G449" i="1" s="1"/>
  <c r="H448" i="1"/>
  <c r="E448" i="1"/>
  <c r="B448" i="1"/>
  <c r="C448" i="1" s="1"/>
  <c r="H447" i="1"/>
  <c r="D447" i="1"/>
  <c r="C447" i="1"/>
  <c r="B447" i="1"/>
  <c r="E447" i="1" s="1"/>
  <c r="G447" i="1" s="1"/>
  <c r="B446" i="1"/>
  <c r="H445" i="1"/>
  <c r="F445" i="1"/>
  <c r="D445" i="1"/>
  <c r="C445" i="1"/>
  <c r="B445" i="1"/>
  <c r="E445" i="1" s="1"/>
  <c r="G445" i="1" s="1"/>
  <c r="H444" i="1"/>
  <c r="E444" i="1"/>
  <c r="B444" i="1"/>
  <c r="C444" i="1" s="1"/>
  <c r="H443" i="1"/>
  <c r="F443" i="1"/>
  <c r="D443" i="1"/>
  <c r="C443" i="1"/>
  <c r="B443" i="1"/>
  <c r="E443" i="1" s="1"/>
  <c r="G443" i="1" s="1"/>
  <c r="B442" i="1"/>
  <c r="H441" i="1"/>
  <c r="D441" i="1"/>
  <c r="C441" i="1"/>
  <c r="B441" i="1"/>
  <c r="E441" i="1" s="1"/>
  <c r="G441" i="1" s="1"/>
  <c r="H440" i="1"/>
  <c r="E440" i="1"/>
  <c r="B440" i="1"/>
  <c r="C440" i="1" s="1"/>
  <c r="H439" i="1"/>
  <c r="D439" i="1"/>
  <c r="C439" i="1"/>
  <c r="B439" i="1"/>
  <c r="E439" i="1" s="1"/>
  <c r="G439" i="1" s="1"/>
  <c r="B438" i="1"/>
  <c r="H437" i="1"/>
  <c r="F437" i="1"/>
  <c r="D437" i="1"/>
  <c r="C437" i="1"/>
  <c r="B437" i="1"/>
  <c r="E437" i="1" s="1"/>
  <c r="G437" i="1" s="1"/>
  <c r="H436" i="1"/>
  <c r="E436" i="1"/>
  <c r="B436" i="1"/>
  <c r="C436" i="1" s="1"/>
  <c r="H435" i="1"/>
  <c r="F435" i="1"/>
  <c r="D435" i="1"/>
  <c r="C435" i="1"/>
  <c r="B435" i="1"/>
  <c r="E435" i="1" s="1"/>
  <c r="G435" i="1" s="1"/>
  <c r="B434" i="1"/>
  <c r="H433" i="1"/>
  <c r="D433" i="1"/>
  <c r="C433" i="1"/>
  <c r="B433" i="1"/>
  <c r="E433" i="1" s="1"/>
  <c r="G433" i="1" s="1"/>
  <c r="H432" i="1"/>
  <c r="E432" i="1"/>
  <c r="B432" i="1"/>
  <c r="C432" i="1" s="1"/>
  <c r="H431" i="1"/>
  <c r="D431" i="1"/>
  <c r="C431" i="1"/>
  <c r="B431" i="1"/>
  <c r="E431" i="1" s="1"/>
  <c r="G431" i="1" s="1"/>
  <c r="E430" i="1"/>
  <c r="D430" i="1"/>
  <c r="B430" i="1"/>
  <c r="C430" i="1" s="1"/>
  <c r="D429" i="1"/>
  <c r="B429" i="1"/>
  <c r="E429" i="1" s="1"/>
  <c r="G429" i="1" s="1"/>
  <c r="E428" i="1"/>
  <c r="D428" i="1"/>
  <c r="B428" i="1"/>
  <c r="C428" i="1" s="1"/>
  <c r="F427" i="1"/>
  <c r="D427" i="1"/>
  <c r="B427" i="1"/>
  <c r="E427" i="1" s="1"/>
  <c r="G427" i="1" s="1"/>
  <c r="E426" i="1"/>
  <c r="D426" i="1"/>
  <c r="B426" i="1"/>
  <c r="C426" i="1" s="1"/>
  <c r="D425" i="1"/>
  <c r="B425" i="1"/>
  <c r="E425" i="1" s="1"/>
  <c r="G425" i="1" s="1"/>
  <c r="E424" i="1"/>
  <c r="D424" i="1"/>
  <c r="B424" i="1"/>
  <c r="C424" i="1" s="1"/>
  <c r="F423" i="1"/>
  <c r="D423" i="1"/>
  <c r="B423" i="1"/>
  <c r="E423" i="1" s="1"/>
  <c r="G423" i="1" s="1"/>
  <c r="E422" i="1"/>
  <c r="D422" i="1"/>
  <c r="B422" i="1"/>
  <c r="C422" i="1" s="1"/>
  <c r="D421" i="1"/>
  <c r="B421" i="1"/>
  <c r="E421" i="1" s="1"/>
  <c r="G421" i="1" s="1"/>
  <c r="E420" i="1"/>
  <c r="D420" i="1"/>
  <c r="B420" i="1"/>
  <c r="C420" i="1" s="1"/>
  <c r="F419" i="1"/>
  <c r="D419" i="1"/>
  <c r="B419" i="1"/>
  <c r="E419" i="1" s="1"/>
  <c r="G419" i="1" s="1"/>
  <c r="E418" i="1"/>
  <c r="D418" i="1"/>
  <c r="B418" i="1"/>
  <c r="C418" i="1" s="1"/>
  <c r="D417" i="1"/>
  <c r="B417" i="1"/>
  <c r="E417" i="1" s="1"/>
  <c r="G417" i="1" s="1"/>
  <c r="E416" i="1"/>
  <c r="D416" i="1"/>
  <c r="B416" i="1"/>
  <c r="C416" i="1" s="1"/>
  <c r="F415" i="1"/>
  <c r="D415" i="1"/>
  <c r="B415" i="1"/>
  <c r="E415" i="1" s="1"/>
  <c r="G415" i="1" s="1"/>
  <c r="E414" i="1"/>
  <c r="D414" i="1"/>
  <c r="B414" i="1"/>
  <c r="C414" i="1" s="1"/>
  <c r="D413" i="1"/>
  <c r="B413" i="1"/>
  <c r="E413" i="1" s="1"/>
  <c r="G413" i="1" s="1"/>
  <c r="E412" i="1"/>
  <c r="D412" i="1"/>
  <c r="B412" i="1"/>
  <c r="C412" i="1" s="1"/>
  <c r="F411" i="1"/>
  <c r="D411" i="1"/>
  <c r="B411" i="1"/>
  <c r="E411" i="1" s="1"/>
  <c r="G411" i="1" s="1"/>
  <c r="E410" i="1"/>
  <c r="D410" i="1"/>
  <c r="B410" i="1"/>
  <c r="C410" i="1" s="1"/>
  <c r="D409" i="1"/>
  <c r="B409" i="1"/>
  <c r="E409" i="1" s="1"/>
  <c r="G409" i="1" s="1"/>
  <c r="E408" i="1"/>
  <c r="D408" i="1"/>
  <c r="B408" i="1"/>
  <c r="C408" i="1" s="1"/>
  <c r="F407" i="1"/>
  <c r="D407" i="1"/>
  <c r="B407" i="1"/>
  <c r="E407" i="1" s="1"/>
  <c r="G407" i="1" s="1"/>
  <c r="E406" i="1"/>
  <c r="D406" i="1"/>
  <c r="B406" i="1"/>
  <c r="C406" i="1" s="1"/>
  <c r="D405" i="1"/>
  <c r="B405" i="1"/>
  <c r="E405" i="1" s="1"/>
  <c r="G405" i="1" s="1"/>
  <c r="E404" i="1"/>
  <c r="D404" i="1"/>
  <c r="B404" i="1"/>
  <c r="C404" i="1" s="1"/>
  <c r="F403" i="1"/>
  <c r="D403" i="1"/>
  <c r="B403" i="1"/>
  <c r="E403" i="1" s="1"/>
  <c r="G403" i="1" s="1"/>
  <c r="E402" i="1"/>
  <c r="D402" i="1"/>
  <c r="B402" i="1"/>
  <c r="C402" i="1" s="1"/>
  <c r="D401" i="1"/>
  <c r="B401" i="1"/>
  <c r="E401" i="1" s="1"/>
  <c r="G401" i="1" s="1"/>
  <c r="E400" i="1"/>
  <c r="D400" i="1"/>
  <c r="B400" i="1"/>
  <c r="C400" i="1" s="1"/>
  <c r="F399" i="1"/>
  <c r="D399" i="1"/>
  <c r="B399" i="1"/>
  <c r="E399" i="1" s="1"/>
  <c r="G399" i="1" s="1"/>
  <c r="E398" i="1"/>
  <c r="D398" i="1"/>
  <c r="B398" i="1"/>
  <c r="C398" i="1" s="1"/>
  <c r="D397" i="1"/>
  <c r="B397" i="1"/>
  <c r="E397" i="1" s="1"/>
  <c r="G397" i="1" s="1"/>
  <c r="E396" i="1"/>
  <c r="D396" i="1"/>
  <c r="B396" i="1"/>
  <c r="C396" i="1" s="1"/>
  <c r="F395" i="1"/>
  <c r="D395" i="1"/>
  <c r="B395" i="1"/>
  <c r="E395" i="1" s="1"/>
  <c r="G395" i="1" s="1"/>
  <c r="E394" i="1"/>
  <c r="D394" i="1"/>
  <c r="B394" i="1"/>
  <c r="C394" i="1" s="1"/>
  <c r="D393" i="1"/>
  <c r="B393" i="1"/>
  <c r="E393" i="1" s="1"/>
  <c r="G393" i="1" s="1"/>
  <c r="E392" i="1"/>
  <c r="D392" i="1"/>
  <c r="B392" i="1"/>
  <c r="C392" i="1" s="1"/>
  <c r="F391" i="1"/>
  <c r="D391" i="1"/>
  <c r="B391" i="1"/>
  <c r="E391" i="1" s="1"/>
  <c r="G391" i="1" s="1"/>
  <c r="E390" i="1"/>
  <c r="D390" i="1"/>
  <c r="B390" i="1"/>
  <c r="C390" i="1" s="1"/>
  <c r="D389" i="1"/>
  <c r="B389" i="1"/>
  <c r="E389" i="1" s="1"/>
  <c r="G389" i="1" s="1"/>
  <c r="E388" i="1"/>
  <c r="D388" i="1"/>
  <c r="B388" i="1"/>
  <c r="C388" i="1" s="1"/>
  <c r="F387" i="1"/>
  <c r="D387" i="1"/>
  <c r="B387" i="1"/>
  <c r="E387" i="1" s="1"/>
  <c r="G387" i="1" s="1"/>
  <c r="E386" i="1"/>
  <c r="D386" i="1"/>
  <c r="B386" i="1"/>
  <c r="C386" i="1" s="1"/>
  <c r="D385" i="1"/>
  <c r="B385" i="1"/>
  <c r="E385" i="1" s="1"/>
  <c r="G385" i="1" s="1"/>
  <c r="E384" i="1"/>
  <c r="D384" i="1"/>
  <c r="B384" i="1"/>
  <c r="C384" i="1" s="1"/>
  <c r="F383" i="1"/>
  <c r="D383" i="1"/>
  <c r="B383" i="1"/>
  <c r="E383" i="1" s="1"/>
  <c r="G383" i="1" s="1"/>
  <c r="E382" i="1"/>
  <c r="D382" i="1"/>
  <c r="B382" i="1"/>
  <c r="C382" i="1" s="1"/>
  <c r="D381" i="1"/>
  <c r="B381" i="1"/>
  <c r="E381" i="1" s="1"/>
  <c r="G381" i="1" s="1"/>
  <c r="E380" i="1"/>
  <c r="D380" i="1"/>
  <c r="B380" i="1"/>
  <c r="C380" i="1" s="1"/>
  <c r="F379" i="1"/>
  <c r="D379" i="1"/>
  <c r="B379" i="1"/>
  <c r="E379" i="1" s="1"/>
  <c r="G379" i="1" s="1"/>
  <c r="C378" i="1"/>
  <c r="B378" i="1"/>
  <c r="H377" i="1"/>
  <c r="E377" i="1"/>
  <c r="D377" i="1"/>
  <c r="B377" i="1"/>
  <c r="C377" i="1" s="1"/>
  <c r="C376" i="1"/>
  <c r="B376" i="1"/>
  <c r="H375" i="1"/>
  <c r="E375" i="1"/>
  <c r="D375" i="1"/>
  <c r="B375" i="1"/>
  <c r="C375" i="1" s="1"/>
  <c r="C374" i="1"/>
  <c r="B374" i="1"/>
  <c r="H373" i="1"/>
  <c r="E373" i="1"/>
  <c r="D373" i="1"/>
  <c r="B373" i="1"/>
  <c r="C373" i="1" s="1"/>
  <c r="C372" i="1"/>
  <c r="B372" i="1"/>
  <c r="H371" i="1"/>
  <c r="E371" i="1"/>
  <c r="D371" i="1"/>
  <c r="B371" i="1"/>
  <c r="C371" i="1" s="1"/>
  <c r="C370" i="1"/>
  <c r="B370" i="1"/>
  <c r="H369" i="1"/>
  <c r="E369" i="1"/>
  <c r="D369" i="1"/>
  <c r="B369" i="1"/>
  <c r="C369" i="1" s="1"/>
  <c r="C368" i="1"/>
  <c r="B368" i="1"/>
  <c r="H367" i="1"/>
  <c r="E367" i="1"/>
  <c r="D367" i="1"/>
  <c r="B367" i="1"/>
  <c r="C367" i="1" s="1"/>
  <c r="C366" i="1"/>
  <c r="B366" i="1"/>
  <c r="H365" i="1"/>
  <c r="E365" i="1"/>
  <c r="D365" i="1"/>
  <c r="B365" i="1"/>
  <c r="C365" i="1" s="1"/>
  <c r="C364" i="1"/>
  <c r="B364" i="1"/>
  <c r="H363" i="1"/>
  <c r="E363" i="1"/>
  <c r="D363" i="1"/>
  <c r="B363" i="1"/>
  <c r="C363" i="1" s="1"/>
  <c r="C362" i="1"/>
  <c r="B362" i="1"/>
  <c r="H361" i="1"/>
  <c r="E361" i="1"/>
  <c r="D361" i="1"/>
  <c r="B361" i="1"/>
  <c r="C361" i="1" s="1"/>
  <c r="C360" i="1"/>
  <c r="B360" i="1"/>
  <c r="H359" i="1"/>
  <c r="E359" i="1"/>
  <c r="D359" i="1"/>
  <c r="B359" i="1"/>
  <c r="C359" i="1" s="1"/>
  <c r="C358" i="1"/>
  <c r="B358" i="1"/>
  <c r="H357" i="1"/>
  <c r="E357" i="1"/>
  <c r="D357" i="1"/>
  <c r="B357" i="1"/>
  <c r="C357" i="1" s="1"/>
  <c r="C356" i="1"/>
  <c r="B356" i="1"/>
  <c r="H355" i="1"/>
  <c r="E355" i="1"/>
  <c r="D355" i="1"/>
  <c r="B355" i="1"/>
  <c r="C355" i="1" s="1"/>
  <c r="C354" i="1"/>
  <c r="B354" i="1"/>
  <c r="H353" i="1"/>
  <c r="E353" i="1"/>
  <c r="D353" i="1"/>
  <c r="B353" i="1"/>
  <c r="C353" i="1" s="1"/>
  <c r="C352" i="1"/>
  <c r="B352" i="1"/>
  <c r="H351" i="1"/>
  <c r="E351" i="1"/>
  <c r="D351" i="1"/>
  <c r="B351" i="1"/>
  <c r="C351" i="1" s="1"/>
  <c r="C350" i="1"/>
  <c r="B350" i="1"/>
  <c r="H349" i="1"/>
  <c r="E349" i="1"/>
  <c r="D349" i="1"/>
  <c r="B349" i="1"/>
  <c r="C349" i="1" s="1"/>
  <c r="C348" i="1"/>
  <c r="B348" i="1"/>
  <c r="H347" i="1"/>
  <c r="E347" i="1"/>
  <c r="D347" i="1"/>
  <c r="B347" i="1"/>
  <c r="C347" i="1" s="1"/>
  <c r="C346" i="1"/>
  <c r="B346" i="1"/>
  <c r="H345" i="1"/>
  <c r="E345" i="1"/>
  <c r="D345" i="1"/>
  <c r="B345" i="1"/>
  <c r="C345" i="1" s="1"/>
  <c r="C344" i="1"/>
  <c r="B344" i="1"/>
  <c r="H343" i="1"/>
  <c r="E343" i="1"/>
  <c r="D343" i="1"/>
  <c r="B343" i="1"/>
  <c r="C343" i="1" s="1"/>
  <c r="C342" i="1"/>
  <c r="B342" i="1"/>
  <c r="H341" i="1"/>
  <c r="E341" i="1"/>
  <c r="D341" i="1"/>
  <c r="B341" i="1"/>
  <c r="C341" i="1" s="1"/>
  <c r="C340" i="1"/>
  <c r="B340" i="1"/>
  <c r="H339" i="1"/>
  <c r="E339" i="1"/>
  <c r="D339" i="1"/>
  <c r="B339" i="1"/>
  <c r="C339" i="1" s="1"/>
  <c r="C338" i="1"/>
  <c r="B338" i="1"/>
  <c r="H337" i="1"/>
  <c r="E337" i="1"/>
  <c r="D337" i="1"/>
  <c r="B337" i="1"/>
  <c r="C337" i="1" s="1"/>
  <c r="C336" i="1"/>
  <c r="B336" i="1"/>
  <c r="H335" i="1"/>
  <c r="E335" i="1"/>
  <c r="D335" i="1"/>
  <c r="B335" i="1"/>
  <c r="C335" i="1" s="1"/>
  <c r="C334" i="1"/>
  <c r="B334" i="1"/>
  <c r="H333" i="1"/>
  <c r="E333" i="1"/>
  <c r="D333" i="1"/>
  <c r="B333" i="1"/>
  <c r="C333" i="1" s="1"/>
  <c r="C332" i="1"/>
  <c r="B332" i="1"/>
  <c r="H331" i="1"/>
  <c r="E331" i="1"/>
  <c r="D331" i="1"/>
  <c r="B331" i="1"/>
  <c r="C331" i="1" s="1"/>
  <c r="C330" i="1"/>
  <c r="B330" i="1"/>
  <c r="B329" i="1"/>
  <c r="H328" i="1"/>
  <c r="F328" i="1"/>
  <c r="D328" i="1"/>
  <c r="C328" i="1"/>
  <c r="B328" i="1"/>
  <c r="E328" i="1" s="1"/>
  <c r="G328" i="1" s="1"/>
  <c r="B327" i="1"/>
  <c r="H326" i="1"/>
  <c r="F326" i="1"/>
  <c r="D326" i="1"/>
  <c r="C326" i="1"/>
  <c r="B326" i="1"/>
  <c r="E326" i="1" s="1"/>
  <c r="G326" i="1" s="1"/>
  <c r="H325" i="1"/>
  <c r="E325" i="1"/>
  <c r="B325" i="1"/>
  <c r="H324" i="1"/>
  <c r="F324" i="1"/>
  <c r="D324" i="1"/>
  <c r="C324" i="1"/>
  <c r="B324" i="1"/>
  <c r="E324" i="1" s="1"/>
  <c r="G324" i="1" s="1"/>
  <c r="H323" i="1"/>
  <c r="E323" i="1"/>
  <c r="B323" i="1"/>
  <c r="H322" i="1"/>
  <c r="F322" i="1"/>
  <c r="D322" i="1"/>
  <c r="C322" i="1"/>
  <c r="B322" i="1"/>
  <c r="E322" i="1" s="1"/>
  <c r="G322" i="1" s="1"/>
  <c r="B321" i="1"/>
  <c r="H320" i="1"/>
  <c r="D320" i="1"/>
  <c r="C320" i="1"/>
  <c r="B320" i="1"/>
  <c r="E320" i="1" s="1"/>
  <c r="G320" i="1" s="1"/>
  <c r="E319" i="1"/>
  <c r="B319" i="1"/>
  <c r="H318" i="1"/>
  <c r="D318" i="1"/>
  <c r="C318" i="1"/>
  <c r="B318" i="1"/>
  <c r="E318" i="1" s="1"/>
  <c r="G318" i="1" s="1"/>
  <c r="H317" i="1"/>
  <c r="E317" i="1"/>
  <c r="B317" i="1"/>
  <c r="H316" i="1"/>
  <c r="D316" i="1"/>
  <c r="C316" i="1"/>
  <c r="B316" i="1"/>
  <c r="E316" i="1" s="1"/>
  <c r="G316" i="1" s="1"/>
  <c r="H315" i="1"/>
  <c r="E315" i="1"/>
  <c r="B315" i="1"/>
  <c r="H314" i="1"/>
  <c r="D314" i="1"/>
  <c r="C314" i="1"/>
  <c r="B314" i="1"/>
  <c r="E314" i="1" s="1"/>
  <c r="G314" i="1" s="1"/>
  <c r="B313" i="1"/>
  <c r="H312" i="1"/>
  <c r="F312" i="1"/>
  <c r="D312" i="1"/>
  <c r="C312" i="1"/>
  <c r="B312" i="1"/>
  <c r="E312" i="1" s="1"/>
  <c r="G312" i="1" s="1"/>
  <c r="B311" i="1"/>
  <c r="H310" i="1"/>
  <c r="D310" i="1"/>
  <c r="C310" i="1"/>
  <c r="B310" i="1"/>
  <c r="E310" i="1" s="1"/>
  <c r="G310" i="1" s="1"/>
  <c r="H309" i="1"/>
  <c r="E309" i="1"/>
  <c r="B309" i="1"/>
  <c r="H308" i="1"/>
  <c r="D308" i="1"/>
  <c r="C308" i="1"/>
  <c r="B308" i="1"/>
  <c r="E308" i="1" s="1"/>
  <c r="G308" i="1" s="1"/>
  <c r="H307" i="1"/>
  <c r="E307" i="1"/>
  <c r="B307" i="1"/>
  <c r="H306" i="1"/>
  <c r="D306" i="1"/>
  <c r="C306" i="1"/>
  <c r="B306" i="1"/>
  <c r="E306" i="1" s="1"/>
  <c r="G306" i="1" s="1"/>
  <c r="B305" i="1"/>
  <c r="H304" i="1"/>
  <c r="D304" i="1"/>
  <c r="C304" i="1"/>
  <c r="B304" i="1"/>
  <c r="E304" i="1" s="1"/>
  <c r="G304" i="1" s="1"/>
  <c r="B303" i="1"/>
  <c r="H302" i="1"/>
  <c r="D302" i="1"/>
  <c r="C302" i="1"/>
  <c r="B302" i="1"/>
  <c r="E302" i="1" s="1"/>
  <c r="G302" i="1" s="1"/>
  <c r="H301" i="1"/>
  <c r="E301" i="1"/>
  <c r="B301" i="1"/>
  <c r="H300" i="1"/>
  <c r="D300" i="1"/>
  <c r="C300" i="1"/>
  <c r="B300" i="1"/>
  <c r="E300" i="1" s="1"/>
  <c r="G300" i="1" s="1"/>
  <c r="H299" i="1"/>
  <c r="E299" i="1"/>
  <c r="B299" i="1"/>
  <c r="H298" i="1"/>
  <c r="D298" i="1"/>
  <c r="C298" i="1"/>
  <c r="B298" i="1"/>
  <c r="E298" i="1" s="1"/>
  <c r="G298" i="1" s="1"/>
  <c r="B297" i="1"/>
  <c r="H296" i="1"/>
  <c r="D296" i="1"/>
  <c r="C296" i="1"/>
  <c r="B296" i="1"/>
  <c r="E296" i="1" s="1"/>
  <c r="G296" i="1" s="1"/>
  <c r="B295" i="1"/>
  <c r="H294" i="1"/>
  <c r="D294" i="1"/>
  <c r="C294" i="1"/>
  <c r="B294" i="1"/>
  <c r="E294" i="1" s="1"/>
  <c r="G294" i="1" s="1"/>
  <c r="H293" i="1"/>
  <c r="E293" i="1"/>
  <c r="B293" i="1"/>
  <c r="H292" i="1"/>
  <c r="D292" i="1"/>
  <c r="C292" i="1"/>
  <c r="B292" i="1"/>
  <c r="E292" i="1" s="1"/>
  <c r="G292" i="1" s="1"/>
  <c r="H291" i="1"/>
  <c r="E291" i="1"/>
  <c r="B291" i="1"/>
  <c r="H290" i="1"/>
  <c r="D290" i="1"/>
  <c r="C290" i="1"/>
  <c r="B290" i="1"/>
  <c r="E290" i="1" s="1"/>
  <c r="G290" i="1" s="1"/>
  <c r="B289" i="1"/>
  <c r="H288" i="1"/>
  <c r="D288" i="1"/>
  <c r="C288" i="1"/>
  <c r="B288" i="1"/>
  <c r="E288" i="1" s="1"/>
  <c r="G288" i="1" s="1"/>
  <c r="E287" i="1"/>
  <c r="B287" i="1"/>
  <c r="H286" i="1"/>
  <c r="F286" i="1"/>
  <c r="D286" i="1"/>
  <c r="C286" i="1"/>
  <c r="B286" i="1"/>
  <c r="E286" i="1" s="1"/>
  <c r="G286" i="1" s="1"/>
  <c r="H285" i="1"/>
  <c r="E285" i="1"/>
  <c r="B285" i="1"/>
  <c r="H284" i="1"/>
  <c r="F284" i="1"/>
  <c r="D284" i="1"/>
  <c r="C284" i="1"/>
  <c r="B284" i="1"/>
  <c r="E284" i="1" s="1"/>
  <c r="G284" i="1" s="1"/>
  <c r="H283" i="1"/>
  <c r="E283" i="1"/>
  <c r="B283" i="1"/>
  <c r="H282" i="1"/>
  <c r="F282" i="1"/>
  <c r="D282" i="1"/>
  <c r="C282" i="1"/>
  <c r="B282" i="1"/>
  <c r="E282" i="1" s="1"/>
  <c r="G282" i="1" s="1"/>
  <c r="B281" i="1"/>
  <c r="H280" i="1"/>
  <c r="F280" i="1"/>
  <c r="D280" i="1"/>
  <c r="C280" i="1"/>
  <c r="B280" i="1"/>
  <c r="E280" i="1" s="1"/>
  <c r="G280" i="1" s="1"/>
  <c r="B279" i="1"/>
  <c r="H278" i="1"/>
  <c r="F278" i="1"/>
  <c r="D278" i="1"/>
  <c r="C278" i="1"/>
  <c r="B278" i="1"/>
  <c r="E278" i="1" s="1"/>
  <c r="G278" i="1" s="1"/>
  <c r="H277" i="1"/>
  <c r="E277" i="1"/>
  <c r="B277" i="1"/>
  <c r="H276" i="1"/>
  <c r="F276" i="1"/>
  <c r="D276" i="1"/>
  <c r="C276" i="1"/>
  <c r="B276" i="1"/>
  <c r="E276" i="1" s="1"/>
  <c r="G276" i="1" s="1"/>
  <c r="H275" i="1"/>
  <c r="E275" i="1"/>
  <c r="B275" i="1"/>
  <c r="H274" i="1"/>
  <c r="D274" i="1"/>
  <c r="C274" i="1"/>
  <c r="B274" i="1"/>
  <c r="E274" i="1" s="1"/>
  <c r="G274" i="1" s="1"/>
  <c r="B273" i="1"/>
  <c r="D272" i="1"/>
  <c r="B272" i="1"/>
  <c r="H272" i="1" s="1"/>
  <c r="D271" i="1"/>
  <c r="B271" i="1"/>
  <c r="H270" i="1"/>
  <c r="D270" i="1"/>
  <c r="B270" i="1"/>
  <c r="D269" i="1"/>
  <c r="B269" i="1"/>
  <c r="H269" i="1" s="1"/>
  <c r="H268" i="1"/>
  <c r="B268" i="1"/>
  <c r="H267" i="1"/>
  <c r="D267" i="1"/>
  <c r="B267" i="1"/>
  <c r="B266" i="1"/>
  <c r="H265" i="1"/>
  <c r="B265" i="1"/>
  <c r="D264" i="1"/>
  <c r="B264" i="1"/>
  <c r="H264" i="1" s="1"/>
  <c r="B263" i="1"/>
  <c r="H262" i="1"/>
  <c r="D262" i="1"/>
  <c r="B262" i="1"/>
  <c r="D261" i="1"/>
  <c r="B261" i="1"/>
  <c r="H261" i="1" s="1"/>
  <c r="B260" i="1"/>
  <c r="H259" i="1"/>
  <c r="D259" i="1"/>
  <c r="B259" i="1"/>
  <c r="B258" i="1"/>
  <c r="B257" i="1"/>
  <c r="D256" i="1"/>
  <c r="B256" i="1"/>
  <c r="H256" i="1" s="1"/>
  <c r="D255" i="1"/>
  <c r="B255" i="1"/>
  <c r="H254" i="1"/>
  <c r="D254" i="1"/>
  <c r="B254" i="1"/>
  <c r="D253" i="1"/>
  <c r="B253" i="1"/>
  <c r="H253" i="1" s="1"/>
  <c r="H252" i="1"/>
  <c r="B252" i="1"/>
  <c r="H251" i="1"/>
  <c r="D251" i="1"/>
  <c r="B251" i="1"/>
  <c r="B250" i="1"/>
  <c r="H249" i="1"/>
  <c r="B249" i="1"/>
  <c r="D248" i="1"/>
  <c r="B248" i="1"/>
  <c r="H248" i="1" s="1"/>
  <c r="B247" i="1"/>
  <c r="H246" i="1"/>
  <c r="D246" i="1"/>
  <c r="B246" i="1"/>
  <c r="D245" i="1"/>
  <c r="B245" i="1"/>
  <c r="H245" i="1" s="1"/>
  <c r="B244" i="1"/>
  <c r="H243" i="1"/>
  <c r="D243" i="1"/>
  <c r="B243" i="1"/>
  <c r="B242" i="1"/>
  <c r="B241" i="1"/>
  <c r="D240" i="1"/>
  <c r="B240" i="1"/>
  <c r="H240" i="1" s="1"/>
  <c r="D239" i="1"/>
  <c r="B239" i="1"/>
  <c r="H238" i="1"/>
  <c r="D238" i="1"/>
  <c r="B238" i="1"/>
  <c r="D237" i="1"/>
  <c r="B237" i="1"/>
  <c r="H237" i="1" s="1"/>
  <c r="H236" i="1"/>
  <c r="B236" i="1"/>
  <c r="H235" i="1"/>
  <c r="D235" i="1"/>
  <c r="B235" i="1"/>
  <c r="B234" i="1"/>
  <c r="H233" i="1"/>
  <c r="B233" i="1"/>
  <c r="D232" i="1"/>
  <c r="B232" i="1"/>
  <c r="H232" i="1" s="1"/>
  <c r="B231" i="1"/>
  <c r="H230" i="1"/>
  <c r="D230" i="1"/>
  <c r="B230" i="1"/>
  <c r="D229" i="1"/>
  <c r="B229" i="1"/>
  <c r="H229" i="1" s="1"/>
  <c r="B228" i="1"/>
  <c r="H227" i="1"/>
  <c r="D227" i="1"/>
  <c r="B227" i="1"/>
  <c r="B226" i="1"/>
  <c r="B225" i="1"/>
  <c r="D224" i="1"/>
  <c r="B224" i="1"/>
  <c r="H224" i="1" s="1"/>
  <c r="D223" i="1"/>
  <c r="B223" i="1"/>
  <c r="H222" i="1"/>
  <c r="D222" i="1"/>
  <c r="B222" i="1"/>
  <c r="D221" i="1"/>
  <c r="B221" i="1"/>
  <c r="H221" i="1" s="1"/>
  <c r="H220" i="1"/>
  <c r="B220" i="1"/>
  <c r="H219" i="1"/>
  <c r="D219" i="1"/>
  <c r="B219" i="1"/>
  <c r="B218" i="1"/>
  <c r="H217" i="1"/>
  <c r="B217" i="1"/>
  <c r="D216" i="1"/>
  <c r="B216" i="1"/>
  <c r="H216" i="1" s="1"/>
  <c r="B215" i="1"/>
  <c r="H214" i="1"/>
  <c r="D214" i="1"/>
  <c r="B214" i="1"/>
  <c r="D213" i="1"/>
  <c r="B213" i="1"/>
  <c r="H213" i="1" s="1"/>
  <c r="B212" i="1"/>
  <c r="H211" i="1"/>
  <c r="D211" i="1"/>
  <c r="B211" i="1"/>
  <c r="B210" i="1"/>
  <c r="B209" i="1"/>
  <c r="D208" i="1"/>
  <c r="B208" i="1"/>
  <c r="H208" i="1" s="1"/>
  <c r="D207" i="1"/>
  <c r="B207" i="1"/>
  <c r="H206" i="1"/>
  <c r="D206" i="1"/>
  <c r="B206" i="1"/>
  <c r="D205" i="1"/>
  <c r="B205" i="1"/>
  <c r="H205" i="1" s="1"/>
  <c r="H204" i="1"/>
  <c r="B204" i="1"/>
  <c r="H203" i="1"/>
  <c r="D203" i="1"/>
  <c r="B203" i="1"/>
  <c r="B202" i="1"/>
  <c r="H201" i="1"/>
  <c r="B201" i="1"/>
  <c r="D200" i="1"/>
  <c r="B200" i="1"/>
  <c r="H200" i="1" s="1"/>
  <c r="B199" i="1"/>
  <c r="H198" i="1"/>
  <c r="D198" i="1"/>
  <c r="B198" i="1"/>
  <c r="D197" i="1"/>
  <c r="B197" i="1"/>
  <c r="H197" i="1" s="1"/>
  <c r="B196" i="1"/>
  <c r="H195" i="1"/>
  <c r="D195" i="1"/>
  <c r="B195" i="1"/>
  <c r="B194" i="1"/>
  <c r="B193" i="1"/>
  <c r="D192" i="1"/>
  <c r="B192" i="1"/>
  <c r="H192" i="1" s="1"/>
  <c r="D191" i="1"/>
  <c r="B191" i="1"/>
  <c r="H190" i="1"/>
  <c r="D190" i="1"/>
  <c r="B190" i="1"/>
  <c r="D189" i="1"/>
  <c r="B189" i="1"/>
  <c r="H189" i="1" s="1"/>
  <c r="H188" i="1"/>
  <c r="B188" i="1"/>
  <c r="H187" i="1"/>
  <c r="D187" i="1"/>
  <c r="B187" i="1"/>
  <c r="B186" i="1"/>
  <c r="H185" i="1"/>
  <c r="B185" i="1"/>
  <c r="D184" i="1"/>
  <c r="B184" i="1"/>
  <c r="H184" i="1" s="1"/>
  <c r="B183" i="1"/>
  <c r="H182" i="1"/>
  <c r="D182" i="1"/>
  <c r="B182" i="1"/>
  <c r="D181" i="1"/>
  <c r="B181" i="1"/>
  <c r="H181" i="1" s="1"/>
  <c r="B180" i="1"/>
  <c r="H179" i="1"/>
  <c r="D179" i="1"/>
  <c r="B179" i="1"/>
  <c r="B178" i="1"/>
  <c r="H177" i="1"/>
  <c r="D177" i="1"/>
  <c r="C177" i="1"/>
  <c r="B177" i="1"/>
  <c r="E177" i="1" s="1"/>
  <c r="G177" i="1" s="1"/>
  <c r="H176" i="1"/>
  <c r="D176" i="1"/>
  <c r="B176" i="1"/>
  <c r="H175" i="1"/>
  <c r="D175" i="1"/>
  <c r="C175" i="1"/>
  <c r="B175" i="1"/>
  <c r="E175" i="1" s="1"/>
  <c r="G175" i="1" s="1"/>
  <c r="B174" i="1"/>
  <c r="H173" i="1"/>
  <c r="D173" i="1"/>
  <c r="C173" i="1"/>
  <c r="B173" i="1"/>
  <c r="E173" i="1" s="1"/>
  <c r="G173" i="1" s="1"/>
  <c r="B172" i="1"/>
  <c r="H171" i="1"/>
  <c r="D171" i="1"/>
  <c r="C171" i="1"/>
  <c r="B171" i="1"/>
  <c r="E171" i="1" s="1"/>
  <c r="G171" i="1" s="1"/>
  <c r="H170" i="1"/>
  <c r="B170" i="1"/>
  <c r="H169" i="1"/>
  <c r="D169" i="1"/>
  <c r="C169" i="1"/>
  <c r="B169" i="1"/>
  <c r="E169" i="1" s="1"/>
  <c r="G169" i="1" s="1"/>
  <c r="H168" i="1"/>
  <c r="D168" i="1"/>
  <c r="B168" i="1"/>
  <c r="H167" i="1"/>
  <c r="D167" i="1"/>
  <c r="C167" i="1"/>
  <c r="B167" i="1"/>
  <c r="E167" i="1" s="1"/>
  <c r="G167" i="1" s="1"/>
  <c r="B166" i="1"/>
  <c r="H165" i="1"/>
  <c r="D165" i="1"/>
  <c r="C165" i="1"/>
  <c r="B165" i="1"/>
  <c r="E165" i="1" s="1"/>
  <c r="G165" i="1" s="1"/>
  <c r="B164" i="1"/>
  <c r="H163" i="1"/>
  <c r="D163" i="1"/>
  <c r="C163" i="1"/>
  <c r="B163" i="1"/>
  <c r="E163" i="1" s="1"/>
  <c r="G163" i="1" s="1"/>
  <c r="H162" i="1"/>
  <c r="B162" i="1"/>
  <c r="H161" i="1"/>
  <c r="D161" i="1"/>
  <c r="C161" i="1"/>
  <c r="B161" i="1"/>
  <c r="E161" i="1" s="1"/>
  <c r="G161" i="1" s="1"/>
  <c r="H160" i="1"/>
  <c r="D160" i="1"/>
  <c r="B160" i="1"/>
  <c r="H159" i="1"/>
  <c r="D159" i="1"/>
  <c r="C159" i="1"/>
  <c r="B159" i="1"/>
  <c r="E159" i="1" s="1"/>
  <c r="G159" i="1" s="1"/>
  <c r="B158" i="1"/>
  <c r="H157" i="1"/>
  <c r="D157" i="1"/>
  <c r="C157" i="1"/>
  <c r="B157" i="1"/>
  <c r="E157" i="1" s="1"/>
  <c r="G157" i="1" s="1"/>
  <c r="B156" i="1"/>
  <c r="H155" i="1"/>
  <c r="D155" i="1"/>
  <c r="C155" i="1"/>
  <c r="B155" i="1"/>
  <c r="E155" i="1" s="1"/>
  <c r="G155" i="1" s="1"/>
  <c r="H154" i="1"/>
  <c r="B154" i="1"/>
  <c r="H153" i="1"/>
  <c r="D153" i="1"/>
  <c r="C153" i="1"/>
  <c r="B153" i="1"/>
  <c r="E153" i="1" s="1"/>
  <c r="G153" i="1" s="1"/>
  <c r="H152" i="1"/>
  <c r="D152" i="1"/>
  <c r="B152" i="1"/>
  <c r="H151" i="1"/>
  <c r="D151" i="1"/>
  <c r="C151" i="1"/>
  <c r="B151" i="1"/>
  <c r="E151" i="1" s="1"/>
  <c r="G151" i="1" s="1"/>
  <c r="B150" i="1"/>
  <c r="H149" i="1"/>
  <c r="D149" i="1"/>
  <c r="C149" i="1"/>
  <c r="B149" i="1"/>
  <c r="E149" i="1" s="1"/>
  <c r="G149" i="1" s="1"/>
  <c r="B148" i="1"/>
  <c r="H147" i="1"/>
  <c r="D147" i="1"/>
  <c r="C147" i="1"/>
  <c r="B147" i="1"/>
  <c r="E147" i="1" s="1"/>
  <c r="G147" i="1" s="1"/>
  <c r="H146" i="1"/>
  <c r="E146" i="1"/>
  <c r="D146" i="1"/>
  <c r="C146" i="1"/>
  <c r="B146" i="1"/>
  <c r="B145" i="1"/>
  <c r="H144" i="1"/>
  <c r="E144" i="1"/>
  <c r="D144" i="1"/>
  <c r="C144" i="1"/>
  <c r="B144" i="1"/>
  <c r="B143" i="1"/>
  <c r="H142" i="1"/>
  <c r="E142" i="1"/>
  <c r="D142" i="1"/>
  <c r="C142" i="1"/>
  <c r="B142" i="1"/>
  <c r="C141" i="1"/>
  <c r="B141" i="1"/>
  <c r="H140" i="1"/>
  <c r="E140" i="1"/>
  <c r="D140" i="1"/>
  <c r="C140" i="1"/>
  <c r="B140" i="1"/>
  <c r="B139" i="1"/>
  <c r="H138" i="1"/>
  <c r="E138" i="1"/>
  <c r="D138" i="1"/>
  <c r="C138" i="1"/>
  <c r="B138" i="1"/>
  <c r="B137" i="1"/>
  <c r="H136" i="1"/>
  <c r="E136" i="1"/>
  <c r="D136" i="1"/>
  <c r="C136" i="1"/>
  <c r="B136" i="1"/>
  <c r="B135" i="1"/>
  <c r="H134" i="1"/>
  <c r="E134" i="1"/>
  <c r="D134" i="1"/>
  <c r="C134" i="1"/>
  <c r="B134" i="1"/>
  <c r="C133" i="1"/>
  <c r="B133" i="1"/>
  <c r="H132" i="1"/>
  <c r="E132" i="1"/>
  <c r="D132" i="1"/>
  <c r="C132" i="1"/>
  <c r="B132" i="1"/>
  <c r="B131" i="1"/>
  <c r="H130" i="1"/>
  <c r="E130" i="1"/>
  <c r="D130" i="1"/>
  <c r="C130" i="1"/>
  <c r="B130" i="1"/>
  <c r="B129" i="1"/>
  <c r="H128" i="1"/>
  <c r="E128" i="1"/>
  <c r="D128" i="1"/>
  <c r="C128" i="1"/>
  <c r="B128" i="1"/>
  <c r="B127" i="1"/>
  <c r="H126" i="1"/>
  <c r="E126" i="1"/>
  <c r="D126" i="1"/>
  <c r="C126" i="1"/>
  <c r="B126" i="1"/>
  <c r="C125" i="1"/>
  <c r="B125" i="1"/>
  <c r="H124" i="1"/>
  <c r="E124" i="1"/>
  <c r="D124" i="1"/>
  <c r="C124" i="1"/>
  <c r="B124" i="1"/>
  <c r="B123" i="1"/>
  <c r="H122" i="1"/>
  <c r="E122" i="1"/>
  <c r="D122" i="1"/>
  <c r="C122" i="1"/>
  <c r="B122" i="1"/>
  <c r="B121" i="1"/>
  <c r="H120" i="1"/>
  <c r="E120" i="1"/>
  <c r="D120" i="1"/>
  <c r="C120" i="1"/>
  <c r="B120" i="1"/>
  <c r="B119" i="1"/>
  <c r="H118" i="1"/>
  <c r="E118" i="1"/>
  <c r="D118" i="1"/>
  <c r="C118" i="1"/>
  <c r="B118" i="1"/>
  <c r="C117" i="1"/>
  <c r="B117" i="1"/>
  <c r="H116" i="1"/>
  <c r="E116" i="1"/>
  <c r="D116" i="1"/>
  <c r="C116" i="1"/>
  <c r="B116" i="1"/>
  <c r="B115" i="1"/>
  <c r="H114" i="1"/>
  <c r="E114" i="1"/>
  <c r="D114" i="1"/>
  <c r="C114" i="1"/>
  <c r="B114" i="1"/>
  <c r="B113" i="1"/>
  <c r="H112" i="1"/>
  <c r="E112" i="1"/>
  <c r="D112" i="1"/>
  <c r="C112" i="1"/>
  <c r="B112" i="1"/>
  <c r="B111" i="1"/>
  <c r="H110" i="1"/>
  <c r="E110" i="1"/>
  <c r="D110" i="1"/>
  <c r="C110" i="1"/>
  <c r="B110" i="1"/>
  <c r="C109" i="1"/>
  <c r="B109" i="1"/>
  <c r="H108" i="1"/>
  <c r="E108" i="1"/>
  <c r="D108" i="1"/>
  <c r="C108" i="1"/>
  <c r="B108" i="1"/>
  <c r="B107" i="1"/>
  <c r="H106" i="1"/>
  <c r="E106" i="1"/>
  <c r="D106" i="1"/>
  <c r="C106" i="1"/>
  <c r="B106" i="1"/>
  <c r="B105" i="1"/>
  <c r="H104" i="1"/>
  <c r="E104" i="1"/>
  <c r="D104" i="1"/>
  <c r="C104" i="1"/>
  <c r="B104" i="1"/>
  <c r="E103" i="1"/>
  <c r="G103" i="1" s="1"/>
  <c r="C103" i="1"/>
  <c r="B103" i="1"/>
  <c r="H102" i="1"/>
  <c r="E102" i="1"/>
  <c r="F102" i="1" s="1"/>
  <c r="D102" i="1"/>
  <c r="C102" i="1"/>
  <c r="B102" i="1"/>
  <c r="E101" i="1"/>
  <c r="G101" i="1" s="1"/>
  <c r="C101" i="1"/>
  <c r="B101" i="1"/>
  <c r="H100" i="1"/>
  <c r="E100" i="1"/>
  <c r="F100" i="1" s="1"/>
  <c r="D100" i="1"/>
  <c r="C100" i="1"/>
  <c r="B100" i="1"/>
  <c r="E99" i="1"/>
  <c r="G99" i="1" s="1"/>
  <c r="C99" i="1"/>
  <c r="B99" i="1"/>
  <c r="H98" i="1"/>
  <c r="E98" i="1"/>
  <c r="F98" i="1" s="1"/>
  <c r="D98" i="1"/>
  <c r="C98" i="1"/>
  <c r="B98" i="1"/>
  <c r="E97" i="1"/>
  <c r="G97" i="1" s="1"/>
  <c r="C97" i="1"/>
  <c r="B97" i="1"/>
  <c r="H96" i="1"/>
  <c r="E96" i="1"/>
  <c r="F96" i="1" s="1"/>
  <c r="D96" i="1"/>
  <c r="C96" i="1"/>
  <c r="B96" i="1"/>
  <c r="E95" i="1"/>
  <c r="G95" i="1" s="1"/>
  <c r="C95" i="1"/>
  <c r="B95" i="1"/>
  <c r="H94" i="1"/>
  <c r="E94" i="1"/>
  <c r="F94" i="1" s="1"/>
  <c r="D94" i="1"/>
  <c r="C94" i="1"/>
  <c r="B94" i="1"/>
  <c r="E93" i="1"/>
  <c r="G93" i="1" s="1"/>
  <c r="C93" i="1"/>
  <c r="B93" i="1"/>
  <c r="H92" i="1"/>
  <c r="E92" i="1"/>
  <c r="F92" i="1" s="1"/>
  <c r="D92" i="1"/>
  <c r="C92" i="1"/>
  <c r="B92" i="1"/>
  <c r="E91" i="1"/>
  <c r="G91" i="1" s="1"/>
  <c r="C91" i="1"/>
  <c r="B91" i="1"/>
  <c r="H90" i="1"/>
  <c r="E90" i="1"/>
  <c r="F90" i="1" s="1"/>
  <c r="D90" i="1"/>
  <c r="C90" i="1"/>
  <c r="B90" i="1"/>
  <c r="E89" i="1"/>
  <c r="G89" i="1" s="1"/>
  <c r="C89" i="1"/>
  <c r="B89" i="1"/>
  <c r="H88" i="1"/>
  <c r="E88" i="1"/>
  <c r="F88" i="1" s="1"/>
  <c r="D88" i="1"/>
  <c r="C88" i="1"/>
  <c r="B88" i="1"/>
  <c r="E87" i="1"/>
  <c r="G87" i="1" s="1"/>
  <c r="C87" i="1"/>
  <c r="B87" i="1"/>
  <c r="H86" i="1"/>
  <c r="E86" i="1"/>
  <c r="F86" i="1" s="1"/>
  <c r="D86" i="1"/>
  <c r="C86" i="1"/>
  <c r="B86" i="1"/>
  <c r="E85" i="1"/>
  <c r="G85" i="1" s="1"/>
  <c r="C85" i="1"/>
  <c r="B85" i="1"/>
  <c r="H84" i="1"/>
  <c r="E84" i="1"/>
  <c r="F84" i="1" s="1"/>
  <c r="D84" i="1"/>
  <c r="C84" i="1"/>
  <c r="B84" i="1"/>
  <c r="E83" i="1"/>
  <c r="G83" i="1" s="1"/>
  <c r="C83" i="1"/>
  <c r="B83" i="1"/>
  <c r="H82" i="1"/>
  <c r="E82" i="1"/>
  <c r="F82" i="1" s="1"/>
  <c r="D82" i="1"/>
  <c r="C82" i="1"/>
  <c r="B82" i="1"/>
  <c r="E81" i="1"/>
  <c r="G81" i="1" s="1"/>
  <c r="C81" i="1"/>
  <c r="B81" i="1"/>
  <c r="H80" i="1"/>
  <c r="E80" i="1"/>
  <c r="F80" i="1" s="1"/>
  <c r="D80" i="1"/>
  <c r="C80" i="1"/>
  <c r="B80" i="1"/>
  <c r="E79" i="1"/>
  <c r="G79" i="1" s="1"/>
  <c r="C79" i="1"/>
  <c r="B79" i="1"/>
  <c r="H78" i="1"/>
  <c r="E78" i="1"/>
  <c r="F78" i="1" s="1"/>
  <c r="D78" i="1"/>
  <c r="C78" i="1"/>
  <c r="B78" i="1"/>
  <c r="E77" i="1"/>
  <c r="G77" i="1" s="1"/>
  <c r="C77" i="1"/>
  <c r="B77" i="1"/>
  <c r="H76" i="1"/>
  <c r="E76" i="1"/>
  <c r="F76" i="1" s="1"/>
  <c r="D76" i="1"/>
  <c r="C76" i="1"/>
  <c r="B76" i="1"/>
  <c r="E75" i="1"/>
  <c r="G75" i="1" s="1"/>
  <c r="C75" i="1"/>
  <c r="B75" i="1"/>
  <c r="H74" i="1"/>
  <c r="E74" i="1"/>
  <c r="F74" i="1" s="1"/>
  <c r="D74" i="1"/>
  <c r="C74" i="1"/>
  <c r="B74" i="1"/>
  <c r="E73" i="1"/>
  <c r="G73" i="1" s="1"/>
  <c r="C73" i="1"/>
  <c r="B73" i="1"/>
  <c r="H72" i="1"/>
  <c r="E72" i="1"/>
  <c r="F72" i="1" s="1"/>
  <c r="D72" i="1"/>
  <c r="C72" i="1"/>
  <c r="B72" i="1"/>
  <c r="E71" i="1"/>
  <c r="G71" i="1" s="1"/>
  <c r="C71" i="1"/>
  <c r="B71" i="1"/>
  <c r="H70" i="1"/>
  <c r="E70" i="1"/>
  <c r="F70" i="1" s="1"/>
  <c r="D70" i="1"/>
  <c r="C70" i="1"/>
  <c r="B70" i="1"/>
  <c r="E69" i="1"/>
  <c r="G69" i="1" s="1"/>
  <c r="C69" i="1"/>
  <c r="B69" i="1"/>
  <c r="H68" i="1"/>
  <c r="E68" i="1"/>
  <c r="F68" i="1" s="1"/>
  <c r="D68" i="1"/>
  <c r="C68" i="1"/>
  <c r="B68" i="1"/>
  <c r="E67" i="1"/>
  <c r="G67" i="1" s="1"/>
  <c r="C67" i="1"/>
  <c r="B67" i="1"/>
  <c r="H66" i="1"/>
  <c r="E66" i="1"/>
  <c r="F66" i="1" s="1"/>
  <c r="D66" i="1"/>
  <c r="C66" i="1"/>
  <c r="B66" i="1"/>
  <c r="E65" i="1"/>
  <c r="G65" i="1" s="1"/>
  <c r="C65" i="1"/>
  <c r="B65" i="1"/>
  <c r="H64" i="1"/>
  <c r="E64" i="1"/>
  <c r="F64" i="1" s="1"/>
  <c r="D64" i="1"/>
  <c r="C64" i="1"/>
  <c r="B64" i="1"/>
  <c r="E63" i="1"/>
  <c r="G63" i="1" s="1"/>
  <c r="C63" i="1"/>
  <c r="B63" i="1"/>
  <c r="H62" i="1"/>
  <c r="E62" i="1"/>
  <c r="F62" i="1" s="1"/>
  <c r="D62" i="1"/>
  <c r="C62" i="1"/>
  <c r="B62" i="1"/>
  <c r="E61" i="1"/>
  <c r="G61" i="1" s="1"/>
  <c r="C61" i="1"/>
  <c r="B61" i="1"/>
  <c r="H60" i="1"/>
  <c r="E60" i="1"/>
  <c r="F60" i="1" s="1"/>
  <c r="D60" i="1"/>
  <c r="C60" i="1"/>
  <c r="B60" i="1"/>
  <c r="E59" i="1"/>
  <c r="G59" i="1" s="1"/>
  <c r="C59" i="1"/>
  <c r="B59" i="1"/>
  <c r="H58" i="1"/>
  <c r="E58" i="1"/>
  <c r="F58" i="1" s="1"/>
  <c r="D58" i="1"/>
  <c r="C58" i="1"/>
  <c r="B58" i="1"/>
  <c r="E57" i="1"/>
  <c r="G57" i="1" s="1"/>
  <c r="C57" i="1"/>
  <c r="B57" i="1"/>
  <c r="H56" i="1"/>
  <c r="E56" i="1"/>
  <c r="F56" i="1" s="1"/>
  <c r="D56" i="1"/>
  <c r="C56" i="1"/>
  <c r="B56" i="1"/>
  <c r="E55" i="1"/>
  <c r="G55" i="1" s="1"/>
  <c r="B55" i="1"/>
  <c r="H55" i="1" s="1"/>
  <c r="H54" i="1"/>
  <c r="E54" i="1"/>
  <c r="F54" i="1" s="1"/>
  <c r="D54" i="1"/>
  <c r="C54" i="1"/>
  <c r="B54" i="1"/>
  <c r="E53" i="1"/>
  <c r="G53" i="1" s="1"/>
  <c r="B53" i="1"/>
  <c r="H53" i="1" s="1"/>
  <c r="H52" i="1"/>
  <c r="E52" i="1"/>
  <c r="F52" i="1" s="1"/>
  <c r="D52" i="1"/>
  <c r="C52" i="1"/>
  <c r="B52" i="1"/>
  <c r="E51" i="1"/>
  <c r="G51" i="1" s="1"/>
  <c r="B51" i="1"/>
  <c r="H51" i="1" s="1"/>
  <c r="H50" i="1"/>
  <c r="E50" i="1"/>
  <c r="F50" i="1" s="1"/>
  <c r="D50" i="1"/>
  <c r="C50" i="1"/>
  <c r="B50" i="1"/>
  <c r="E49" i="1"/>
  <c r="G49" i="1" s="1"/>
  <c r="B49" i="1"/>
  <c r="H49" i="1" s="1"/>
  <c r="H48" i="1"/>
  <c r="E48" i="1"/>
  <c r="F48" i="1" s="1"/>
  <c r="D48" i="1"/>
  <c r="C48" i="1"/>
  <c r="B48" i="1"/>
  <c r="E47" i="1"/>
  <c r="G47" i="1" s="1"/>
  <c r="B47" i="1"/>
  <c r="H47" i="1" s="1"/>
  <c r="H46" i="1"/>
  <c r="E46" i="1"/>
  <c r="F46" i="1" s="1"/>
  <c r="D46" i="1"/>
  <c r="C46" i="1"/>
  <c r="B46" i="1"/>
  <c r="E45" i="1"/>
  <c r="G45" i="1" s="1"/>
  <c r="B45" i="1"/>
  <c r="H45" i="1" s="1"/>
  <c r="H44" i="1"/>
  <c r="D44" i="1"/>
  <c r="C44" i="1"/>
  <c r="B44" i="1"/>
  <c r="E44" i="1" s="1"/>
  <c r="E43" i="1"/>
  <c r="G43" i="1" s="1"/>
  <c r="B43" i="1"/>
  <c r="H43" i="1" s="1"/>
  <c r="H42" i="1"/>
  <c r="D42" i="1"/>
  <c r="C42" i="1"/>
  <c r="B42" i="1"/>
  <c r="E42" i="1" s="1"/>
  <c r="E41" i="1"/>
  <c r="G41" i="1" s="1"/>
  <c r="B41" i="1"/>
  <c r="H41" i="1" s="1"/>
  <c r="H40" i="1"/>
  <c r="D40" i="1"/>
  <c r="C40" i="1"/>
  <c r="B40" i="1"/>
  <c r="E40" i="1" s="1"/>
  <c r="E39" i="1"/>
  <c r="G39" i="1" s="1"/>
  <c r="B39" i="1"/>
  <c r="H39" i="1" s="1"/>
  <c r="H38" i="1"/>
  <c r="D38" i="1"/>
  <c r="C38" i="1"/>
  <c r="B38" i="1"/>
  <c r="E38" i="1" s="1"/>
  <c r="H37" i="1"/>
  <c r="E37" i="1"/>
  <c r="G37" i="1" s="1"/>
  <c r="D37" i="1"/>
  <c r="B37" i="1"/>
  <c r="C37" i="1" s="1"/>
  <c r="C36" i="1"/>
  <c r="B36" i="1"/>
  <c r="E36" i="1" s="1"/>
  <c r="H35" i="1"/>
  <c r="E35" i="1"/>
  <c r="G35" i="1" s="1"/>
  <c r="D35" i="1"/>
  <c r="B35" i="1"/>
  <c r="C35" i="1" s="1"/>
  <c r="C34" i="1"/>
  <c r="B34" i="1"/>
  <c r="E34" i="1" s="1"/>
  <c r="H33" i="1"/>
  <c r="E33" i="1"/>
  <c r="G33" i="1" s="1"/>
  <c r="D33" i="1"/>
  <c r="B33" i="1"/>
  <c r="C33" i="1" s="1"/>
  <c r="C32" i="1"/>
  <c r="B32" i="1"/>
  <c r="E32" i="1" s="1"/>
  <c r="H31" i="1"/>
  <c r="E31" i="1"/>
  <c r="G31" i="1" s="1"/>
  <c r="D31" i="1"/>
  <c r="B31" i="1"/>
  <c r="C31" i="1" s="1"/>
  <c r="C30" i="1"/>
  <c r="B30" i="1"/>
  <c r="E30" i="1" s="1"/>
  <c r="H29" i="1"/>
  <c r="E29" i="1"/>
  <c r="G29" i="1" s="1"/>
  <c r="D29" i="1"/>
  <c r="B29" i="1"/>
  <c r="C29" i="1" s="1"/>
  <c r="C28" i="1"/>
  <c r="B28" i="1"/>
  <c r="E28" i="1" s="1"/>
  <c r="H27" i="1"/>
  <c r="E27" i="1"/>
  <c r="G27" i="1" s="1"/>
  <c r="D27" i="1"/>
  <c r="B27" i="1"/>
  <c r="C27" i="1" s="1"/>
  <c r="C26" i="1"/>
  <c r="B26" i="1"/>
  <c r="E26" i="1" s="1"/>
  <c r="H25" i="1"/>
  <c r="E25" i="1"/>
  <c r="G25" i="1" s="1"/>
  <c r="D25" i="1"/>
  <c r="B25" i="1"/>
  <c r="C25" i="1" s="1"/>
  <c r="C24" i="1"/>
  <c r="B24" i="1"/>
  <c r="E24" i="1" s="1"/>
  <c r="H23" i="1"/>
  <c r="E23" i="1"/>
  <c r="G23" i="1" s="1"/>
  <c r="D23" i="1"/>
  <c r="C23" i="1"/>
  <c r="B23" i="1"/>
  <c r="C22" i="1"/>
  <c r="B22" i="1"/>
  <c r="E22" i="1" s="1"/>
  <c r="H21" i="1"/>
  <c r="E21" i="1"/>
  <c r="G21" i="1" s="1"/>
  <c r="D21" i="1"/>
  <c r="B21" i="1"/>
  <c r="C21" i="1" s="1"/>
  <c r="C20" i="1"/>
  <c r="B20" i="1"/>
  <c r="E20" i="1" s="1"/>
  <c r="H19" i="1"/>
  <c r="E19" i="1"/>
  <c r="G19" i="1" s="1"/>
  <c r="D19" i="1"/>
  <c r="B19" i="1"/>
  <c r="C19" i="1" s="1"/>
  <c r="C18" i="1"/>
  <c r="B18" i="1"/>
  <c r="E18" i="1" s="1"/>
  <c r="H17" i="1"/>
  <c r="E17" i="1"/>
  <c r="G17" i="1" s="1"/>
  <c r="D17" i="1"/>
  <c r="B17" i="1"/>
  <c r="C17" i="1" s="1"/>
  <c r="C16" i="1"/>
  <c r="B16" i="1"/>
  <c r="E16" i="1" s="1"/>
  <c r="H15" i="1"/>
  <c r="E15" i="1"/>
  <c r="G15" i="1" s="1"/>
  <c r="D15" i="1"/>
  <c r="B15" i="1"/>
  <c r="C15" i="1" s="1"/>
  <c r="C14" i="1"/>
  <c r="B14" i="1"/>
  <c r="E14" i="1" s="1"/>
  <c r="H13" i="1"/>
  <c r="E13" i="1"/>
  <c r="G13" i="1" s="1"/>
  <c r="D13" i="1"/>
  <c r="B13" i="1"/>
  <c r="C13" i="1" s="1"/>
  <c r="H12" i="1"/>
  <c r="E12" i="1"/>
  <c r="G12" i="1" s="1"/>
  <c r="D12" i="1"/>
  <c r="C12" i="1"/>
  <c r="B12" i="1"/>
  <c r="B11" i="1"/>
  <c r="E11" i="1" s="1"/>
  <c r="E10" i="1"/>
  <c r="G10" i="1" s="1"/>
  <c r="B10" i="1"/>
  <c r="H10" i="1" s="1"/>
  <c r="H9" i="1"/>
  <c r="D9" i="1"/>
  <c r="C9" i="1"/>
  <c r="B9" i="1"/>
  <c r="E9" i="1" s="1"/>
  <c r="B8" i="1"/>
  <c r="E8" i="1" s="1"/>
  <c r="E7" i="1"/>
  <c r="G7" i="1" s="1"/>
  <c r="B7" i="1"/>
  <c r="H7" i="1" s="1"/>
  <c r="H6" i="1"/>
  <c r="E6" i="1"/>
  <c r="G6" i="1" s="1"/>
  <c r="D6" i="1"/>
  <c r="C6" i="1"/>
  <c r="B6" i="1"/>
  <c r="B5" i="1"/>
  <c r="E5" i="1" s="1"/>
  <c r="E4" i="1"/>
  <c r="G4" i="1" s="1"/>
  <c r="B4" i="1"/>
  <c r="H4" i="1" s="1"/>
  <c r="H3" i="1"/>
  <c r="E3" i="1"/>
  <c r="G3" i="1" s="1"/>
  <c r="D3" i="1"/>
  <c r="C3" i="1"/>
  <c r="B3" i="1"/>
  <c r="B2" i="1"/>
  <c r="E2" i="1" s="1"/>
  <c r="F288" i="1" l="1"/>
  <c r="F296" i="1"/>
  <c r="F304" i="1"/>
  <c r="G453" i="1"/>
  <c r="G495" i="1"/>
  <c r="G503" i="1"/>
  <c r="G591" i="1"/>
  <c r="G616" i="1"/>
  <c r="G624" i="1"/>
  <c r="G632" i="1"/>
  <c r="G640" i="1"/>
  <c r="G648" i="1"/>
  <c r="G656" i="1"/>
  <c r="F274" i="1"/>
  <c r="F320" i="1"/>
  <c r="F431" i="1"/>
  <c r="F433" i="1"/>
  <c r="F439" i="1"/>
  <c r="F441" i="1"/>
  <c r="F447" i="1"/>
  <c r="F449" i="1"/>
  <c r="G457" i="1"/>
  <c r="G465" i="1"/>
  <c r="G473" i="1"/>
  <c r="G477" i="1"/>
  <c r="F500" i="1"/>
  <c r="G46" i="1"/>
  <c r="G48" i="1"/>
  <c r="G50" i="1"/>
  <c r="G52" i="1"/>
  <c r="G54" i="1"/>
  <c r="F290" i="1"/>
  <c r="F292" i="1"/>
  <c r="F294" i="1"/>
  <c r="F298" i="1"/>
  <c r="F300" i="1"/>
  <c r="F302" i="1"/>
  <c r="F306" i="1"/>
  <c r="F308" i="1"/>
  <c r="F310" i="1"/>
  <c r="F314" i="1"/>
  <c r="F316" i="1"/>
  <c r="F318" i="1"/>
  <c r="F381" i="1"/>
  <c r="F385" i="1"/>
  <c r="F389" i="1"/>
  <c r="F393" i="1"/>
  <c r="F397" i="1"/>
  <c r="F401" i="1"/>
  <c r="F405" i="1"/>
  <c r="F409" i="1"/>
  <c r="F413" i="1"/>
  <c r="F417" i="1"/>
  <c r="F421" i="1"/>
  <c r="F425" i="1"/>
  <c r="F429" i="1"/>
  <c r="G485" i="1"/>
  <c r="G568" i="1"/>
  <c r="G582" i="1"/>
  <c r="G587" i="1"/>
  <c r="G620" i="1"/>
  <c r="G628" i="1"/>
  <c r="G636" i="1"/>
  <c r="G644" i="1"/>
  <c r="G652" i="1"/>
  <c r="F662" i="1"/>
  <c r="F11" i="1"/>
  <c r="G11" i="1"/>
  <c r="F24" i="1"/>
  <c r="G24" i="1"/>
  <c r="F28" i="1"/>
  <c r="G28" i="1"/>
  <c r="F36" i="1"/>
  <c r="G36" i="1"/>
  <c r="F2" i="1"/>
  <c r="G2" i="1"/>
  <c r="F9" i="1"/>
  <c r="G9" i="1"/>
  <c r="F26" i="1"/>
  <c r="G26" i="1"/>
  <c r="F30" i="1"/>
  <c r="G30" i="1"/>
  <c r="F34" i="1"/>
  <c r="G34" i="1"/>
  <c r="F38" i="1"/>
  <c r="G38" i="1"/>
  <c r="F44" i="1"/>
  <c r="G44" i="1"/>
  <c r="F16" i="1"/>
  <c r="G16" i="1"/>
  <c r="F20" i="1"/>
  <c r="G20" i="1"/>
  <c r="F40" i="1"/>
  <c r="G40" i="1"/>
  <c r="F8" i="1"/>
  <c r="G8" i="1"/>
  <c r="F32" i="1"/>
  <c r="G32" i="1"/>
  <c r="F42" i="1"/>
  <c r="G42" i="1"/>
  <c r="F5" i="1"/>
  <c r="G5" i="1"/>
  <c r="F14" i="1"/>
  <c r="G14" i="1"/>
  <c r="F18" i="1"/>
  <c r="G18" i="1"/>
  <c r="F22" i="1"/>
  <c r="G22" i="1"/>
  <c r="G108" i="1"/>
  <c r="F108" i="1"/>
  <c r="E111" i="1"/>
  <c r="H111" i="1"/>
  <c r="D111" i="1"/>
  <c r="G116" i="1"/>
  <c r="F116" i="1"/>
  <c r="E119" i="1"/>
  <c r="H119" i="1"/>
  <c r="D119" i="1"/>
  <c r="G124" i="1"/>
  <c r="F124" i="1"/>
  <c r="E127" i="1"/>
  <c r="H127" i="1"/>
  <c r="D127" i="1"/>
  <c r="G132" i="1"/>
  <c r="F132" i="1"/>
  <c r="E135" i="1"/>
  <c r="H135" i="1"/>
  <c r="D135" i="1"/>
  <c r="G140" i="1"/>
  <c r="F140" i="1"/>
  <c r="E143" i="1"/>
  <c r="H143" i="1"/>
  <c r="D143" i="1"/>
  <c r="C150" i="1"/>
  <c r="E150" i="1"/>
  <c r="C158" i="1"/>
  <c r="E158" i="1"/>
  <c r="C166" i="1"/>
  <c r="E166" i="1"/>
  <c r="C174" i="1"/>
  <c r="E174" i="1"/>
  <c r="E186" i="1"/>
  <c r="C186" i="1"/>
  <c r="H186" i="1"/>
  <c r="E202" i="1"/>
  <c r="C202" i="1"/>
  <c r="H202" i="1"/>
  <c r="E218" i="1"/>
  <c r="C218" i="1"/>
  <c r="H218" i="1"/>
  <c r="E234" i="1"/>
  <c r="C234" i="1"/>
  <c r="H234" i="1"/>
  <c r="E250" i="1"/>
  <c r="C250" i="1"/>
  <c r="H250" i="1"/>
  <c r="E266" i="1"/>
  <c r="C266" i="1"/>
  <c r="H266" i="1"/>
  <c r="G287" i="1"/>
  <c r="F287" i="1"/>
  <c r="G293" i="1"/>
  <c r="F293" i="1"/>
  <c r="C295" i="1"/>
  <c r="D295" i="1"/>
  <c r="H295" i="1"/>
  <c r="C297" i="1"/>
  <c r="D297" i="1"/>
  <c r="H297" i="1"/>
  <c r="E297" i="1"/>
  <c r="G319" i="1"/>
  <c r="F319" i="1"/>
  <c r="G325" i="1"/>
  <c r="F325" i="1"/>
  <c r="C327" i="1"/>
  <c r="D327" i="1"/>
  <c r="H327" i="1"/>
  <c r="C329" i="1"/>
  <c r="D329" i="1"/>
  <c r="H329" i="1"/>
  <c r="E329" i="1"/>
  <c r="F459" i="1"/>
  <c r="G459" i="1"/>
  <c r="G460" i="1"/>
  <c r="F460" i="1"/>
  <c r="H478" i="1"/>
  <c r="D478" i="1"/>
  <c r="C478" i="1"/>
  <c r="E478" i="1"/>
  <c r="F480" i="1"/>
  <c r="G480" i="1"/>
  <c r="G490" i="1"/>
  <c r="F490" i="1"/>
  <c r="H510" i="1"/>
  <c r="D510" i="1"/>
  <c r="C510" i="1"/>
  <c r="E510" i="1"/>
  <c r="F512" i="1"/>
  <c r="G512" i="1"/>
  <c r="F4" i="1"/>
  <c r="C5" i="1"/>
  <c r="F7" i="1"/>
  <c r="C8" i="1"/>
  <c r="F10" i="1"/>
  <c r="C11" i="1"/>
  <c r="F13" i="1"/>
  <c r="D14" i="1"/>
  <c r="H14" i="1"/>
  <c r="F15" i="1"/>
  <c r="D16" i="1"/>
  <c r="H16" i="1"/>
  <c r="F17" i="1"/>
  <c r="D18" i="1"/>
  <c r="H18" i="1"/>
  <c r="F19" i="1"/>
  <c r="D20" i="1"/>
  <c r="H20" i="1"/>
  <c r="F21" i="1"/>
  <c r="D22" i="1"/>
  <c r="H22" i="1"/>
  <c r="F23" i="1"/>
  <c r="D24" i="1"/>
  <c r="H24" i="1"/>
  <c r="F25" i="1"/>
  <c r="D26" i="1"/>
  <c r="H26" i="1"/>
  <c r="F27" i="1"/>
  <c r="D28" i="1"/>
  <c r="H28" i="1"/>
  <c r="F29" i="1"/>
  <c r="D30" i="1"/>
  <c r="H30" i="1"/>
  <c r="F31" i="1"/>
  <c r="D32" i="1"/>
  <c r="H32" i="1"/>
  <c r="F33" i="1"/>
  <c r="D34" i="1"/>
  <c r="H34" i="1"/>
  <c r="F35" i="1"/>
  <c r="D36" i="1"/>
  <c r="H36" i="1"/>
  <c r="F37" i="1"/>
  <c r="F39" i="1"/>
  <c r="F41" i="1"/>
  <c r="F43" i="1"/>
  <c r="F45" i="1"/>
  <c r="F47" i="1"/>
  <c r="F49" i="1"/>
  <c r="F51" i="1"/>
  <c r="F53" i="1"/>
  <c r="F55" i="1"/>
  <c r="E105" i="1"/>
  <c r="H105" i="1"/>
  <c r="D105" i="1"/>
  <c r="G110" i="1"/>
  <c r="F110" i="1"/>
  <c r="C111" i="1"/>
  <c r="E113" i="1"/>
  <c r="H113" i="1"/>
  <c r="D113" i="1"/>
  <c r="G118" i="1"/>
  <c r="F118" i="1"/>
  <c r="C119" i="1"/>
  <c r="E121" i="1"/>
  <c r="H121" i="1"/>
  <c r="D121" i="1"/>
  <c r="G126" i="1"/>
  <c r="F126" i="1"/>
  <c r="C127" i="1"/>
  <c r="E129" i="1"/>
  <c r="H129" i="1"/>
  <c r="D129" i="1"/>
  <c r="G134" i="1"/>
  <c r="F134" i="1"/>
  <c r="C135" i="1"/>
  <c r="E137" i="1"/>
  <c r="H137" i="1"/>
  <c r="D137" i="1"/>
  <c r="G142" i="1"/>
  <c r="F142" i="1"/>
  <c r="C143" i="1"/>
  <c r="E145" i="1"/>
  <c r="H145" i="1"/>
  <c r="D145" i="1"/>
  <c r="C148" i="1"/>
  <c r="E148" i="1"/>
  <c r="D150" i="1"/>
  <c r="C156" i="1"/>
  <c r="E156" i="1"/>
  <c r="D158" i="1"/>
  <c r="C164" i="1"/>
  <c r="E164" i="1"/>
  <c r="D166" i="1"/>
  <c r="C172" i="1"/>
  <c r="E172" i="1"/>
  <c r="D174" i="1"/>
  <c r="E180" i="1"/>
  <c r="C180" i="1"/>
  <c r="D180" i="1"/>
  <c r="C183" i="1"/>
  <c r="E183" i="1"/>
  <c r="H183" i="1"/>
  <c r="D186" i="1"/>
  <c r="C193" i="1"/>
  <c r="E193" i="1"/>
  <c r="D193" i="1"/>
  <c r="E196" i="1"/>
  <c r="C196" i="1"/>
  <c r="D196" i="1"/>
  <c r="C199" i="1"/>
  <c r="E199" i="1"/>
  <c r="H199" i="1"/>
  <c r="D202" i="1"/>
  <c r="C209" i="1"/>
  <c r="E209" i="1"/>
  <c r="D209" i="1"/>
  <c r="E212" i="1"/>
  <c r="C212" i="1"/>
  <c r="D212" i="1"/>
  <c r="C215" i="1"/>
  <c r="E215" i="1"/>
  <c r="H215" i="1"/>
  <c r="D218" i="1"/>
  <c r="C225" i="1"/>
  <c r="E225" i="1"/>
  <c r="D225" i="1"/>
  <c r="E228" i="1"/>
  <c r="C228" i="1"/>
  <c r="D228" i="1"/>
  <c r="C231" i="1"/>
  <c r="E231" i="1"/>
  <c r="H231" i="1"/>
  <c r="D234" i="1"/>
  <c r="C241" i="1"/>
  <c r="E241" i="1"/>
  <c r="D241" i="1"/>
  <c r="E244" i="1"/>
  <c r="C244" i="1"/>
  <c r="D244" i="1"/>
  <c r="C247" i="1"/>
  <c r="E247" i="1"/>
  <c r="H247" i="1"/>
  <c r="D250" i="1"/>
  <c r="C257" i="1"/>
  <c r="E257" i="1"/>
  <c r="D257" i="1"/>
  <c r="E260" i="1"/>
  <c r="C260" i="1"/>
  <c r="D260" i="1"/>
  <c r="C263" i="1"/>
  <c r="E263" i="1"/>
  <c r="H263" i="1"/>
  <c r="D266" i="1"/>
  <c r="C273" i="1"/>
  <c r="D273" i="1"/>
  <c r="H273" i="1"/>
  <c r="E273" i="1"/>
  <c r="E295" i="1"/>
  <c r="G301" i="1"/>
  <c r="F301" i="1"/>
  <c r="C303" i="1"/>
  <c r="D303" i="1"/>
  <c r="H303" i="1"/>
  <c r="C305" i="1"/>
  <c r="D305" i="1"/>
  <c r="H305" i="1"/>
  <c r="E305" i="1"/>
  <c r="E327" i="1"/>
  <c r="G333" i="1"/>
  <c r="F333" i="1"/>
  <c r="G343" i="1"/>
  <c r="F343" i="1"/>
  <c r="G349" i="1"/>
  <c r="F349" i="1"/>
  <c r="G359" i="1"/>
  <c r="F359" i="1"/>
  <c r="G365" i="1"/>
  <c r="F365" i="1"/>
  <c r="G375" i="1"/>
  <c r="F375" i="1"/>
  <c r="G380" i="1"/>
  <c r="F380" i="1"/>
  <c r="G396" i="1"/>
  <c r="F396" i="1"/>
  <c r="G412" i="1"/>
  <c r="F412" i="1"/>
  <c r="G428" i="1"/>
  <c r="F428" i="1"/>
  <c r="F451" i="1"/>
  <c r="G451" i="1"/>
  <c r="D2" i="1"/>
  <c r="H2" i="1"/>
  <c r="F3" i="1"/>
  <c r="C4" i="1"/>
  <c r="D5" i="1"/>
  <c r="H5" i="1"/>
  <c r="F6" i="1"/>
  <c r="C7" i="1"/>
  <c r="D8" i="1"/>
  <c r="H8" i="1"/>
  <c r="C10" i="1"/>
  <c r="D11" i="1"/>
  <c r="H11" i="1"/>
  <c r="F12" i="1"/>
  <c r="C39" i="1"/>
  <c r="C41" i="1"/>
  <c r="C43" i="1"/>
  <c r="C45" i="1"/>
  <c r="C47" i="1"/>
  <c r="C49" i="1"/>
  <c r="C51" i="1"/>
  <c r="C53" i="1"/>
  <c r="C55" i="1"/>
  <c r="F57" i="1"/>
  <c r="F59" i="1"/>
  <c r="F61" i="1"/>
  <c r="F63" i="1"/>
  <c r="F65" i="1"/>
  <c r="F67" i="1"/>
  <c r="F69" i="1"/>
  <c r="F71" i="1"/>
  <c r="F73" i="1"/>
  <c r="F75" i="1"/>
  <c r="F77" i="1"/>
  <c r="F79" i="1"/>
  <c r="F81" i="1"/>
  <c r="F83" i="1"/>
  <c r="F85" i="1"/>
  <c r="F87" i="1"/>
  <c r="F89" i="1"/>
  <c r="F91" i="1"/>
  <c r="F93" i="1"/>
  <c r="F95" i="1"/>
  <c r="F97" i="1"/>
  <c r="F99" i="1"/>
  <c r="F101" i="1"/>
  <c r="F103" i="1"/>
  <c r="G104" i="1"/>
  <c r="F104" i="1"/>
  <c r="C105" i="1"/>
  <c r="E107" i="1"/>
  <c r="H107" i="1"/>
  <c r="D107" i="1"/>
  <c r="G112" i="1"/>
  <c r="F112" i="1"/>
  <c r="C113" i="1"/>
  <c r="E115" i="1"/>
  <c r="H115" i="1"/>
  <c r="D115" i="1"/>
  <c r="G120" i="1"/>
  <c r="F120" i="1"/>
  <c r="C121" i="1"/>
  <c r="E123" i="1"/>
  <c r="H123" i="1"/>
  <c r="D123" i="1"/>
  <c r="G128" i="1"/>
  <c r="F128" i="1"/>
  <c r="C129" i="1"/>
  <c r="E131" i="1"/>
  <c r="H131" i="1"/>
  <c r="D131" i="1"/>
  <c r="G136" i="1"/>
  <c r="F136" i="1"/>
  <c r="C137" i="1"/>
  <c r="E139" i="1"/>
  <c r="H139" i="1"/>
  <c r="D139" i="1"/>
  <c r="G144" i="1"/>
  <c r="F144" i="1"/>
  <c r="C145" i="1"/>
  <c r="D148" i="1"/>
  <c r="H150" i="1"/>
  <c r="C154" i="1"/>
  <c r="E154" i="1"/>
  <c r="D156" i="1"/>
  <c r="H158" i="1"/>
  <c r="C162" i="1"/>
  <c r="E162" i="1"/>
  <c r="D164" i="1"/>
  <c r="H166" i="1"/>
  <c r="C170" i="1"/>
  <c r="E170" i="1"/>
  <c r="D172" i="1"/>
  <c r="H174" i="1"/>
  <c r="E178" i="1"/>
  <c r="C178" i="1"/>
  <c r="H178" i="1"/>
  <c r="H180" i="1"/>
  <c r="D183" i="1"/>
  <c r="H193" i="1"/>
  <c r="E194" i="1"/>
  <c r="C194" i="1"/>
  <c r="H194" i="1"/>
  <c r="H196" i="1"/>
  <c r="D199" i="1"/>
  <c r="H209" i="1"/>
  <c r="E210" i="1"/>
  <c r="C210" i="1"/>
  <c r="H210" i="1"/>
  <c r="H212" i="1"/>
  <c r="D215" i="1"/>
  <c r="H225" i="1"/>
  <c r="E226" i="1"/>
  <c r="C226" i="1"/>
  <c r="H226" i="1"/>
  <c r="H228" i="1"/>
  <c r="D231" i="1"/>
  <c r="H241" i="1"/>
  <c r="E242" i="1"/>
  <c r="C242" i="1"/>
  <c r="H242" i="1"/>
  <c r="H244" i="1"/>
  <c r="D247" i="1"/>
  <c r="H257" i="1"/>
  <c r="E258" i="1"/>
  <c r="C258" i="1"/>
  <c r="H258" i="1"/>
  <c r="H260" i="1"/>
  <c r="D263" i="1"/>
  <c r="G277" i="1"/>
  <c r="F277" i="1"/>
  <c r="C279" i="1"/>
  <c r="D279" i="1"/>
  <c r="H279" i="1"/>
  <c r="C281" i="1"/>
  <c r="D281" i="1"/>
  <c r="H281" i="1"/>
  <c r="E281" i="1"/>
  <c r="E303" i="1"/>
  <c r="G309" i="1"/>
  <c r="F309" i="1"/>
  <c r="C311" i="1"/>
  <c r="D311" i="1"/>
  <c r="H311" i="1"/>
  <c r="C313" i="1"/>
  <c r="D313" i="1"/>
  <c r="H313" i="1"/>
  <c r="E313" i="1"/>
  <c r="G384" i="1"/>
  <c r="F384" i="1"/>
  <c r="G400" i="1"/>
  <c r="F400" i="1"/>
  <c r="G416" i="1"/>
  <c r="F416" i="1"/>
  <c r="C434" i="1"/>
  <c r="H434" i="1"/>
  <c r="E434" i="1"/>
  <c r="D434" i="1"/>
  <c r="C442" i="1"/>
  <c r="H442" i="1"/>
  <c r="E442" i="1"/>
  <c r="D442" i="1"/>
  <c r="H450" i="1"/>
  <c r="D450" i="1"/>
  <c r="C450" i="1"/>
  <c r="E450" i="1"/>
  <c r="D4" i="1"/>
  <c r="D7" i="1"/>
  <c r="D10" i="1"/>
  <c r="D39" i="1"/>
  <c r="D41" i="1"/>
  <c r="D43" i="1"/>
  <c r="D45" i="1"/>
  <c r="D47" i="1"/>
  <c r="D49" i="1"/>
  <c r="D51" i="1"/>
  <c r="D53" i="1"/>
  <c r="D55" i="1"/>
  <c r="G56" i="1"/>
  <c r="H57" i="1"/>
  <c r="D57" i="1"/>
  <c r="G58" i="1"/>
  <c r="H59" i="1"/>
  <c r="D59" i="1"/>
  <c r="G60" i="1"/>
  <c r="H61" i="1"/>
  <c r="D61" i="1"/>
  <c r="G62" i="1"/>
  <c r="H63" i="1"/>
  <c r="D63" i="1"/>
  <c r="G64" i="1"/>
  <c r="H65" i="1"/>
  <c r="D65" i="1"/>
  <c r="G66" i="1"/>
  <c r="H67" i="1"/>
  <c r="D67" i="1"/>
  <c r="G68" i="1"/>
  <c r="H69" i="1"/>
  <c r="D69" i="1"/>
  <c r="G70" i="1"/>
  <c r="H71" i="1"/>
  <c r="D71" i="1"/>
  <c r="G72" i="1"/>
  <c r="H73" i="1"/>
  <c r="D73" i="1"/>
  <c r="G74" i="1"/>
  <c r="H75" i="1"/>
  <c r="D75" i="1"/>
  <c r="G76" i="1"/>
  <c r="H77" i="1"/>
  <c r="D77" i="1"/>
  <c r="G78" i="1"/>
  <c r="H79" i="1"/>
  <c r="D79" i="1"/>
  <c r="G80" i="1"/>
  <c r="H81" i="1"/>
  <c r="D81" i="1"/>
  <c r="G82" i="1"/>
  <c r="H83" i="1"/>
  <c r="D83" i="1"/>
  <c r="G84" i="1"/>
  <c r="H85" i="1"/>
  <c r="D85" i="1"/>
  <c r="G86" i="1"/>
  <c r="H87" i="1"/>
  <c r="D87" i="1"/>
  <c r="G88" i="1"/>
  <c r="H89" i="1"/>
  <c r="D89" i="1"/>
  <c r="G90" i="1"/>
  <c r="H91" i="1"/>
  <c r="D91" i="1"/>
  <c r="G92" i="1"/>
  <c r="H93" i="1"/>
  <c r="D93" i="1"/>
  <c r="G94" i="1"/>
  <c r="H95" i="1"/>
  <c r="D95" i="1"/>
  <c r="G96" i="1"/>
  <c r="H97" i="1"/>
  <c r="D97" i="1"/>
  <c r="G98" i="1"/>
  <c r="H99" i="1"/>
  <c r="D99" i="1"/>
  <c r="G100" i="1"/>
  <c r="H101" i="1"/>
  <c r="D101" i="1"/>
  <c r="G102" i="1"/>
  <c r="H103" i="1"/>
  <c r="D103" i="1"/>
  <c r="G106" i="1"/>
  <c r="F106" i="1"/>
  <c r="C107" i="1"/>
  <c r="E109" i="1"/>
  <c r="H109" i="1"/>
  <c r="D109" i="1"/>
  <c r="G114" i="1"/>
  <c r="F114" i="1"/>
  <c r="C115" i="1"/>
  <c r="E117" i="1"/>
  <c r="H117" i="1"/>
  <c r="D117" i="1"/>
  <c r="G122" i="1"/>
  <c r="F122" i="1"/>
  <c r="C123" i="1"/>
  <c r="E125" i="1"/>
  <c r="H125" i="1"/>
  <c r="D125" i="1"/>
  <c r="G130" i="1"/>
  <c r="F130" i="1"/>
  <c r="C131" i="1"/>
  <c r="E133" i="1"/>
  <c r="H133" i="1"/>
  <c r="D133" i="1"/>
  <c r="G138" i="1"/>
  <c r="F138" i="1"/>
  <c r="C139" i="1"/>
  <c r="E141" i="1"/>
  <c r="H141" i="1"/>
  <c r="D141" i="1"/>
  <c r="G146" i="1"/>
  <c r="F146" i="1"/>
  <c r="H148" i="1"/>
  <c r="C152" i="1"/>
  <c r="E152" i="1"/>
  <c r="D154" i="1"/>
  <c r="H156" i="1"/>
  <c r="C160" i="1"/>
  <c r="E160" i="1"/>
  <c r="D162" i="1"/>
  <c r="H164" i="1"/>
  <c r="C168" i="1"/>
  <c r="E168" i="1"/>
  <c r="D170" i="1"/>
  <c r="H172" i="1"/>
  <c r="C176" i="1"/>
  <c r="E176" i="1"/>
  <c r="D178" i="1"/>
  <c r="C185" i="1"/>
  <c r="E185" i="1"/>
  <c r="D185" i="1"/>
  <c r="E188" i="1"/>
  <c r="C188" i="1"/>
  <c r="D188" i="1"/>
  <c r="C191" i="1"/>
  <c r="E191" i="1"/>
  <c r="H191" i="1"/>
  <c r="D194" i="1"/>
  <c r="C201" i="1"/>
  <c r="E201" i="1"/>
  <c r="D201" i="1"/>
  <c r="E204" i="1"/>
  <c r="C204" i="1"/>
  <c r="D204" i="1"/>
  <c r="C207" i="1"/>
  <c r="E207" i="1"/>
  <c r="H207" i="1"/>
  <c r="D210" i="1"/>
  <c r="C217" i="1"/>
  <c r="E217" i="1"/>
  <c r="D217" i="1"/>
  <c r="E220" i="1"/>
  <c r="C220" i="1"/>
  <c r="D220" i="1"/>
  <c r="C223" i="1"/>
  <c r="E223" i="1"/>
  <c r="H223" i="1"/>
  <c r="D226" i="1"/>
  <c r="C233" i="1"/>
  <c r="E233" i="1"/>
  <c r="D233" i="1"/>
  <c r="E236" i="1"/>
  <c r="C236" i="1"/>
  <c r="D236" i="1"/>
  <c r="C239" i="1"/>
  <c r="E239" i="1"/>
  <c r="H239" i="1"/>
  <c r="D242" i="1"/>
  <c r="C249" i="1"/>
  <c r="E249" i="1"/>
  <c r="D249" i="1"/>
  <c r="E252" i="1"/>
  <c r="C252" i="1"/>
  <c r="D252" i="1"/>
  <c r="C255" i="1"/>
  <c r="E255" i="1"/>
  <c r="H255" i="1"/>
  <c r="D258" i="1"/>
  <c r="C265" i="1"/>
  <c r="E265" i="1"/>
  <c r="D265" i="1"/>
  <c r="E268" i="1"/>
  <c r="C268" i="1"/>
  <c r="D268" i="1"/>
  <c r="C271" i="1"/>
  <c r="E271" i="1"/>
  <c r="H271" i="1"/>
  <c r="E279" i="1"/>
  <c r="G285" i="1"/>
  <c r="F285" i="1"/>
  <c r="C287" i="1"/>
  <c r="D287" i="1"/>
  <c r="H287" i="1"/>
  <c r="C289" i="1"/>
  <c r="D289" i="1"/>
  <c r="H289" i="1"/>
  <c r="E289" i="1"/>
  <c r="E311" i="1"/>
  <c r="G317" i="1"/>
  <c r="F317" i="1"/>
  <c r="C319" i="1"/>
  <c r="D319" i="1"/>
  <c r="H319" i="1"/>
  <c r="C321" i="1"/>
  <c r="D321" i="1"/>
  <c r="H321" i="1"/>
  <c r="E321" i="1"/>
  <c r="G335" i="1"/>
  <c r="F335" i="1"/>
  <c r="G341" i="1"/>
  <c r="F341" i="1"/>
  <c r="G351" i="1"/>
  <c r="F351" i="1"/>
  <c r="G357" i="1"/>
  <c r="F357" i="1"/>
  <c r="G367" i="1"/>
  <c r="F367" i="1"/>
  <c r="G373" i="1"/>
  <c r="F373" i="1"/>
  <c r="H464" i="1"/>
  <c r="D464" i="1"/>
  <c r="C464" i="1"/>
  <c r="E464" i="1"/>
  <c r="H472" i="1"/>
  <c r="D472" i="1"/>
  <c r="C472" i="1"/>
  <c r="E472" i="1"/>
  <c r="H482" i="1"/>
  <c r="D482" i="1"/>
  <c r="C482" i="1"/>
  <c r="E482" i="1"/>
  <c r="F491" i="1"/>
  <c r="G491" i="1"/>
  <c r="G492" i="1"/>
  <c r="F492" i="1"/>
  <c r="F147" i="1"/>
  <c r="F149" i="1"/>
  <c r="F151" i="1"/>
  <c r="F153" i="1"/>
  <c r="F155" i="1"/>
  <c r="F157" i="1"/>
  <c r="F159" i="1"/>
  <c r="F161" i="1"/>
  <c r="F163" i="1"/>
  <c r="F165" i="1"/>
  <c r="F167" i="1"/>
  <c r="F169" i="1"/>
  <c r="F171" i="1"/>
  <c r="F173" i="1"/>
  <c r="F175" i="1"/>
  <c r="F177" i="1"/>
  <c r="C179" i="1"/>
  <c r="E179" i="1"/>
  <c r="E182" i="1"/>
  <c r="C182" i="1"/>
  <c r="C187" i="1"/>
  <c r="E187" i="1"/>
  <c r="E190" i="1"/>
  <c r="C190" i="1"/>
  <c r="C195" i="1"/>
  <c r="E195" i="1"/>
  <c r="E198" i="1"/>
  <c r="C198" i="1"/>
  <c r="C203" i="1"/>
  <c r="E203" i="1"/>
  <c r="E206" i="1"/>
  <c r="C206" i="1"/>
  <c r="C211" i="1"/>
  <c r="E211" i="1"/>
  <c r="E214" i="1"/>
  <c r="C214" i="1"/>
  <c r="C219" i="1"/>
  <c r="E219" i="1"/>
  <c r="E222" i="1"/>
  <c r="C222" i="1"/>
  <c r="C227" i="1"/>
  <c r="E227" i="1"/>
  <c r="E230" i="1"/>
  <c r="C230" i="1"/>
  <c r="C235" i="1"/>
  <c r="E235" i="1"/>
  <c r="E238" i="1"/>
  <c r="C238" i="1"/>
  <c r="C243" i="1"/>
  <c r="E243" i="1"/>
  <c r="E246" i="1"/>
  <c r="C246" i="1"/>
  <c r="C251" i="1"/>
  <c r="E251" i="1"/>
  <c r="E254" i="1"/>
  <c r="C254" i="1"/>
  <c r="C259" i="1"/>
  <c r="E259" i="1"/>
  <c r="E262" i="1"/>
  <c r="C262" i="1"/>
  <c r="C267" i="1"/>
  <c r="E267" i="1"/>
  <c r="E270" i="1"/>
  <c r="C270" i="1"/>
  <c r="C275" i="1"/>
  <c r="D275" i="1"/>
  <c r="C283" i="1"/>
  <c r="D283" i="1"/>
  <c r="C291" i="1"/>
  <c r="D291" i="1"/>
  <c r="C299" i="1"/>
  <c r="D299" i="1"/>
  <c r="C307" i="1"/>
  <c r="D307" i="1"/>
  <c r="C315" i="1"/>
  <c r="D315" i="1"/>
  <c r="C323" i="1"/>
  <c r="D323" i="1"/>
  <c r="G331" i="1"/>
  <c r="F331" i="1"/>
  <c r="G339" i="1"/>
  <c r="F339" i="1"/>
  <c r="G347" i="1"/>
  <c r="F347" i="1"/>
  <c r="G355" i="1"/>
  <c r="F355" i="1"/>
  <c r="G363" i="1"/>
  <c r="F363" i="1"/>
  <c r="G371" i="1"/>
  <c r="F371" i="1"/>
  <c r="G388" i="1"/>
  <c r="F388" i="1"/>
  <c r="G404" i="1"/>
  <c r="F404" i="1"/>
  <c r="G420" i="1"/>
  <c r="F420" i="1"/>
  <c r="G458" i="1"/>
  <c r="F458" i="1"/>
  <c r="H506" i="1"/>
  <c r="D506" i="1"/>
  <c r="C506" i="1"/>
  <c r="E506" i="1"/>
  <c r="F515" i="1"/>
  <c r="G515" i="1"/>
  <c r="F576" i="1"/>
  <c r="G576" i="1"/>
  <c r="C181" i="1"/>
  <c r="E181" i="1"/>
  <c r="E184" i="1"/>
  <c r="C184" i="1"/>
  <c r="C189" i="1"/>
  <c r="E189" i="1"/>
  <c r="E192" i="1"/>
  <c r="C192" i="1"/>
  <c r="C197" i="1"/>
  <c r="E197" i="1"/>
  <c r="E200" i="1"/>
  <c r="C200" i="1"/>
  <c r="C205" i="1"/>
  <c r="E205" i="1"/>
  <c r="E208" i="1"/>
  <c r="C208" i="1"/>
  <c r="C213" i="1"/>
  <c r="E213" i="1"/>
  <c r="E216" i="1"/>
  <c r="C216" i="1"/>
  <c r="C221" i="1"/>
  <c r="E221" i="1"/>
  <c r="E224" i="1"/>
  <c r="C224" i="1"/>
  <c r="C229" i="1"/>
  <c r="E229" i="1"/>
  <c r="E232" i="1"/>
  <c r="C232" i="1"/>
  <c r="C237" i="1"/>
  <c r="E237" i="1"/>
  <c r="E240" i="1"/>
  <c r="C240" i="1"/>
  <c r="C245" i="1"/>
  <c r="E245" i="1"/>
  <c r="E248" i="1"/>
  <c r="C248" i="1"/>
  <c r="C253" i="1"/>
  <c r="E253" i="1"/>
  <c r="E256" i="1"/>
  <c r="C256" i="1"/>
  <c r="C261" i="1"/>
  <c r="E261" i="1"/>
  <c r="E264" i="1"/>
  <c r="C264" i="1"/>
  <c r="C269" i="1"/>
  <c r="E269" i="1"/>
  <c r="E272" i="1"/>
  <c r="C272" i="1"/>
  <c r="G275" i="1"/>
  <c r="F275" i="1"/>
  <c r="C277" i="1"/>
  <c r="D277" i="1"/>
  <c r="G283" i="1"/>
  <c r="F283" i="1"/>
  <c r="C285" i="1"/>
  <c r="D285" i="1"/>
  <c r="G291" i="1"/>
  <c r="F291" i="1"/>
  <c r="C293" i="1"/>
  <c r="D293" i="1"/>
  <c r="G299" i="1"/>
  <c r="F299" i="1"/>
  <c r="C301" i="1"/>
  <c r="D301" i="1"/>
  <c r="G307" i="1"/>
  <c r="F307" i="1"/>
  <c r="C309" i="1"/>
  <c r="D309" i="1"/>
  <c r="G315" i="1"/>
  <c r="F315" i="1"/>
  <c r="C317" i="1"/>
  <c r="D317" i="1"/>
  <c r="G323" i="1"/>
  <c r="F323" i="1"/>
  <c r="C325" i="1"/>
  <c r="D325" i="1"/>
  <c r="G337" i="1"/>
  <c r="F337" i="1"/>
  <c r="G345" i="1"/>
  <c r="F345" i="1"/>
  <c r="G353" i="1"/>
  <c r="F353" i="1"/>
  <c r="G361" i="1"/>
  <c r="F361" i="1"/>
  <c r="G369" i="1"/>
  <c r="F369" i="1"/>
  <c r="G377" i="1"/>
  <c r="F377" i="1"/>
  <c r="G392" i="1"/>
  <c r="F392" i="1"/>
  <c r="G408" i="1"/>
  <c r="F408" i="1"/>
  <c r="G424" i="1"/>
  <c r="F424" i="1"/>
  <c r="C438" i="1"/>
  <c r="H438" i="1"/>
  <c r="E438" i="1"/>
  <c r="D438" i="1"/>
  <c r="C446" i="1"/>
  <c r="H446" i="1"/>
  <c r="E446" i="1"/>
  <c r="D446" i="1"/>
  <c r="H474" i="1"/>
  <c r="D474" i="1"/>
  <c r="C474" i="1"/>
  <c r="E474" i="1"/>
  <c r="F483" i="1"/>
  <c r="G483" i="1"/>
  <c r="H496" i="1"/>
  <c r="D496" i="1"/>
  <c r="C496" i="1"/>
  <c r="E496" i="1"/>
  <c r="H504" i="1"/>
  <c r="D504" i="1"/>
  <c r="C504" i="1"/>
  <c r="E504" i="1"/>
  <c r="H514" i="1"/>
  <c r="D514" i="1"/>
  <c r="C514" i="1"/>
  <c r="E514" i="1"/>
  <c r="G545" i="1"/>
  <c r="F545" i="1"/>
  <c r="E330" i="1"/>
  <c r="H330" i="1"/>
  <c r="D330" i="1"/>
  <c r="E332" i="1"/>
  <c r="H332" i="1"/>
  <c r="D332" i="1"/>
  <c r="E334" i="1"/>
  <c r="H334" i="1"/>
  <c r="D334" i="1"/>
  <c r="E336" i="1"/>
  <c r="H336" i="1"/>
  <c r="D336" i="1"/>
  <c r="E338" i="1"/>
  <c r="H338" i="1"/>
  <c r="D338" i="1"/>
  <c r="E340" i="1"/>
  <c r="H340" i="1"/>
  <c r="D340" i="1"/>
  <c r="E342" i="1"/>
  <c r="H342" i="1"/>
  <c r="D342" i="1"/>
  <c r="E344" i="1"/>
  <c r="H344" i="1"/>
  <c r="D344" i="1"/>
  <c r="E346" i="1"/>
  <c r="H346" i="1"/>
  <c r="D346" i="1"/>
  <c r="E348" i="1"/>
  <c r="H348" i="1"/>
  <c r="D348" i="1"/>
  <c r="E350" i="1"/>
  <c r="H350" i="1"/>
  <c r="D350" i="1"/>
  <c r="E352" i="1"/>
  <c r="H352" i="1"/>
  <c r="D352" i="1"/>
  <c r="E354" i="1"/>
  <c r="H354" i="1"/>
  <c r="D354" i="1"/>
  <c r="E356" i="1"/>
  <c r="H356" i="1"/>
  <c r="D356" i="1"/>
  <c r="E358" i="1"/>
  <c r="H358" i="1"/>
  <c r="D358" i="1"/>
  <c r="E360" i="1"/>
  <c r="H360" i="1"/>
  <c r="D360" i="1"/>
  <c r="E362" i="1"/>
  <c r="H362" i="1"/>
  <c r="D362" i="1"/>
  <c r="E364" i="1"/>
  <c r="H364" i="1"/>
  <c r="D364" i="1"/>
  <c r="E366" i="1"/>
  <c r="H366" i="1"/>
  <c r="D366" i="1"/>
  <c r="E368" i="1"/>
  <c r="H368" i="1"/>
  <c r="D368" i="1"/>
  <c r="E370" i="1"/>
  <c r="H370" i="1"/>
  <c r="D370" i="1"/>
  <c r="E372" i="1"/>
  <c r="H372" i="1"/>
  <c r="D372" i="1"/>
  <c r="E374" i="1"/>
  <c r="H374" i="1"/>
  <c r="D374" i="1"/>
  <c r="E376" i="1"/>
  <c r="H376" i="1"/>
  <c r="D376" i="1"/>
  <c r="E378" i="1"/>
  <c r="H378" i="1"/>
  <c r="D378" i="1"/>
  <c r="G386" i="1"/>
  <c r="F386" i="1"/>
  <c r="G394" i="1"/>
  <c r="F394" i="1"/>
  <c r="G402" i="1"/>
  <c r="F402" i="1"/>
  <c r="G410" i="1"/>
  <c r="F410" i="1"/>
  <c r="G418" i="1"/>
  <c r="F418" i="1"/>
  <c r="G426" i="1"/>
  <c r="F426" i="1"/>
  <c r="G529" i="1"/>
  <c r="F529" i="1"/>
  <c r="E540" i="1"/>
  <c r="H540" i="1"/>
  <c r="D540" i="1"/>
  <c r="C540" i="1"/>
  <c r="F574" i="1"/>
  <c r="G574" i="1"/>
  <c r="G382" i="1"/>
  <c r="F382" i="1"/>
  <c r="G390" i="1"/>
  <c r="F390" i="1"/>
  <c r="G398" i="1"/>
  <c r="F398" i="1"/>
  <c r="G406" i="1"/>
  <c r="F406" i="1"/>
  <c r="G414" i="1"/>
  <c r="F414" i="1"/>
  <c r="G422" i="1"/>
  <c r="F422" i="1"/>
  <c r="G430" i="1"/>
  <c r="F430" i="1"/>
  <c r="G432" i="1"/>
  <c r="F432" i="1"/>
  <c r="G436" i="1"/>
  <c r="F436" i="1"/>
  <c r="G440" i="1"/>
  <c r="F440" i="1"/>
  <c r="G444" i="1"/>
  <c r="F444" i="1"/>
  <c r="G448" i="1"/>
  <c r="F448" i="1"/>
  <c r="H454" i="1"/>
  <c r="D454" i="1"/>
  <c r="C454" i="1"/>
  <c r="E454" i="1"/>
  <c r="F455" i="1"/>
  <c r="G455" i="1"/>
  <c r="F469" i="1"/>
  <c r="G469" i="1"/>
  <c r="H486" i="1"/>
  <c r="D486" i="1"/>
  <c r="C486" i="1"/>
  <c r="E486" i="1"/>
  <c r="F487" i="1"/>
  <c r="G487" i="1"/>
  <c r="F501" i="1"/>
  <c r="G501" i="1"/>
  <c r="H555" i="1"/>
  <c r="D555" i="1"/>
  <c r="E555" i="1"/>
  <c r="C555" i="1"/>
  <c r="H456" i="1"/>
  <c r="D456" i="1"/>
  <c r="C456" i="1"/>
  <c r="H466" i="1"/>
  <c r="D466" i="1"/>
  <c r="C466" i="1"/>
  <c r="H470" i="1"/>
  <c r="D470" i="1"/>
  <c r="C470" i="1"/>
  <c r="E470" i="1"/>
  <c r="F475" i="1"/>
  <c r="G475" i="1"/>
  <c r="H488" i="1"/>
  <c r="D488" i="1"/>
  <c r="C488" i="1"/>
  <c r="H498" i="1"/>
  <c r="D498" i="1"/>
  <c r="C498" i="1"/>
  <c r="H502" i="1"/>
  <c r="D502" i="1"/>
  <c r="C502" i="1"/>
  <c r="E502" i="1"/>
  <c r="F507" i="1"/>
  <c r="G507" i="1"/>
  <c r="G517" i="1"/>
  <c r="F517" i="1"/>
  <c r="G519" i="1"/>
  <c r="F519" i="1"/>
  <c r="G521" i="1"/>
  <c r="F521" i="1"/>
  <c r="E532" i="1"/>
  <c r="H532" i="1"/>
  <c r="D532" i="1"/>
  <c r="C532" i="1"/>
  <c r="G535" i="1"/>
  <c r="F535" i="1"/>
  <c r="G537" i="1"/>
  <c r="F537" i="1"/>
  <c r="G543" i="1"/>
  <c r="F543" i="1"/>
  <c r="G547" i="1"/>
  <c r="F547" i="1"/>
  <c r="G553" i="1"/>
  <c r="F553" i="1"/>
  <c r="F564" i="1"/>
  <c r="G564" i="1"/>
  <c r="F572" i="1"/>
  <c r="G572" i="1"/>
  <c r="H590" i="1"/>
  <c r="D590" i="1"/>
  <c r="E590" i="1"/>
  <c r="C590" i="1"/>
  <c r="C379" i="1"/>
  <c r="H379" i="1"/>
  <c r="H380" i="1"/>
  <c r="C381" i="1"/>
  <c r="H381" i="1"/>
  <c r="H382" i="1"/>
  <c r="C383" i="1"/>
  <c r="H383" i="1"/>
  <c r="H384" i="1"/>
  <c r="C385" i="1"/>
  <c r="H385" i="1"/>
  <c r="H386" i="1"/>
  <c r="C387" i="1"/>
  <c r="H387" i="1"/>
  <c r="H388" i="1"/>
  <c r="C389" i="1"/>
  <c r="H389" i="1"/>
  <c r="H390" i="1"/>
  <c r="C391" i="1"/>
  <c r="H391" i="1"/>
  <c r="H392" i="1"/>
  <c r="C393" i="1"/>
  <c r="H393" i="1"/>
  <c r="H394" i="1"/>
  <c r="C395" i="1"/>
  <c r="H395" i="1"/>
  <c r="H396" i="1"/>
  <c r="C397" i="1"/>
  <c r="H397" i="1"/>
  <c r="H398" i="1"/>
  <c r="C399" i="1"/>
  <c r="H399" i="1"/>
  <c r="H400" i="1"/>
  <c r="C401" i="1"/>
  <c r="H401" i="1"/>
  <c r="H402" i="1"/>
  <c r="C403" i="1"/>
  <c r="H403" i="1"/>
  <c r="H404" i="1"/>
  <c r="C405" i="1"/>
  <c r="H405" i="1"/>
  <c r="H406" i="1"/>
  <c r="C407" i="1"/>
  <c r="H407" i="1"/>
  <c r="H408" i="1"/>
  <c r="C409" i="1"/>
  <c r="H409" i="1"/>
  <c r="H410" i="1"/>
  <c r="C411" i="1"/>
  <c r="H411" i="1"/>
  <c r="H412" i="1"/>
  <c r="C413" i="1"/>
  <c r="H413" i="1"/>
  <c r="H414" i="1"/>
  <c r="C415" i="1"/>
  <c r="H415" i="1"/>
  <c r="H416" i="1"/>
  <c r="C417" i="1"/>
  <c r="H417" i="1"/>
  <c r="H418" i="1"/>
  <c r="C419" i="1"/>
  <c r="H419" i="1"/>
  <c r="H420" i="1"/>
  <c r="C421" i="1"/>
  <c r="H421" i="1"/>
  <c r="H422" i="1"/>
  <c r="C423" i="1"/>
  <c r="H423" i="1"/>
  <c r="H424" i="1"/>
  <c r="C425" i="1"/>
  <c r="H425" i="1"/>
  <c r="H426" i="1"/>
  <c r="C427" i="1"/>
  <c r="H427" i="1"/>
  <c r="H428" i="1"/>
  <c r="C429" i="1"/>
  <c r="H429" i="1"/>
  <c r="H430" i="1"/>
  <c r="D432" i="1"/>
  <c r="D436" i="1"/>
  <c r="D440" i="1"/>
  <c r="D444" i="1"/>
  <c r="D448" i="1"/>
  <c r="E456" i="1"/>
  <c r="H458" i="1"/>
  <c r="D458" i="1"/>
  <c r="C458" i="1"/>
  <c r="G461" i="1"/>
  <c r="H462" i="1"/>
  <c r="D462" i="1"/>
  <c r="C462" i="1"/>
  <c r="E462" i="1"/>
  <c r="E466" i="1"/>
  <c r="F467" i="1"/>
  <c r="G467" i="1"/>
  <c r="G479" i="1"/>
  <c r="H480" i="1"/>
  <c r="D480" i="1"/>
  <c r="C480" i="1"/>
  <c r="E488" i="1"/>
  <c r="H490" i="1"/>
  <c r="D490" i="1"/>
  <c r="C490" i="1"/>
  <c r="G493" i="1"/>
  <c r="H494" i="1"/>
  <c r="D494" i="1"/>
  <c r="C494" i="1"/>
  <c r="E494" i="1"/>
  <c r="E498" i="1"/>
  <c r="F499" i="1"/>
  <c r="G499" i="1"/>
  <c r="G511" i="1"/>
  <c r="H512" i="1"/>
  <c r="D512" i="1"/>
  <c r="C512" i="1"/>
  <c r="G522" i="1"/>
  <c r="F522" i="1"/>
  <c r="E524" i="1"/>
  <c r="H524" i="1"/>
  <c r="D524" i="1"/>
  <c r="C524" i="1"/>
  <c r="E530" i="1"/>
  <c r="H530" i="1"/>
  <c r="D530" i="1"/>
  <c r="H452" i="1"/>
  <c r="D452" i="1"/>
  <c r="C452" i="1"/>
  <c r="H460" i="1"/>
  <c r="D460" i="1"/>
  <c r="C460" i="1"/>
  <c r="H468" i="1"/>
  <c r="D468" i="1"/>
  <c r="C468" i="1"/>
  <c r="H476" i="1"/>
  <c r="D476" i="1"/>
  <c r="C476" i="1"/>
  <c r="H484" i="1"/>
  <c r="D484" i="1"/>
  <c r="C484" i="1"/>
  <c r="H492" i="1"/>
  <c r="D492" i="1"/>
  <c r="C492" i="1"/>
  <c r="H500" i="1"/>
  <c r="D500" i="1"/>
  <c r="C500" i="1"/>
  <c r="H508" i="1"/>
  <c r="D508" i="1"/>
  <c r="C508" i="1"/>
  <c r="H516" i="1"/>
  <c r="D516" i="1"/>
  <c r="C516" i="1"/>
  <c r="G527" i="1"/>
  <c r="F527" i="1"/>
  <c r="G551" i="1"/>
  <c r="F551" i="1"/>
  <c r="F570" i="1"/>
  <c r="G570" i="1"/>
  <c r="F578" i="1"/>
  <c r="G578" i="1"/>
  <c r="E518" i="1"/>
  <c r="H518" i="1"/>
  <c r="D518" i="1"/>
  <c r="E520" i="1"/>
  <c r="H520" i="1"/>
  <c r="D520" i="1"/>
  <c r="E538" i="1"/>
  <c r="H538" i="1"/>
  <c r="D538" i="1"/>
  <c r="G549" i="1"/>
  <c r="F549" i="1"/>
  <c r="F556" i="1"/>
  <c r="G556" i="1"/>
  <c r="H561" i="1"/>
  <c r="D561" i="1"/>
  <c r="E561" i="1"/>
  <c r="C561" i="1"/>
  <c r="G562" i="1"/>
  <c r="H563" i="1"/>
  <c r="D563" i="1"/>
  <c r="E563" i="1"/>
  <c r="C563" i="1"/>
  <c r="E614" i="1"/>
  <c r="H614" i="1"/>
  <c r="D614" i="1"/>
  <c r="C614" i="1"/>
  <c r="G523" i="1"/>
  <c r="F523" i="1"/>
  <c r="E526" i="1"/>
  <c r="H526" i="1"/>
  <c r="D526" i="1"/>
  <c r="G531" i="1"/>
  <c r="F531" i="1"/>
  <c r="E534" i="1"/>
  <c r="H534" i="1"/>
  <c r="D534" i="1"/>
  <c r="G539" i="1"/>
  <c r="F539" i="1"/>
  <c r="E542" i="1"/>
  <c r="H542" i="1"/>
  <c r="D542" i="1"/>
  <c r="H557" i="1"/>
  <c r="D557" i="1"/>
  <c r="E557" i="1"/>
  <c r="C557" i="1"/>
  <c r="H565" i="1"/>
  <c r="D565" i="1"/>
  <c r="E565" i="1"/>
  <c r="C565" i="1"/>
  <c r="G595" i="1"/>
  <c r="F595" i="1"/>
  <c r="H522" i="1"/>
  <c r="D522" i="1"/>
  <c r="G525" i="1"/>
  <c r="F525" i="1"/>
  <c r="C526" i="1"/>
  <c r="E528" i="1"/>
  <c r="H528" i="1"/>
  <c r="D528" i="1"/>
  <c r="G533" i="1"/>
  <c r="F533" i="1"/>
  <c r="C534" i="1"/>
  <c r="E536" i="1"/>
  <c r="H536" i="1"/>
  <c r="D536" i="1"/>
  <c r="G541" i="1"/>
  <c r="F541" i="1"/>
  <c r="C542" i="1"/>
  <c r="E544" i="1"/>
  <c r="H544" i="1"/>
  <c r="D544" i="1"/>
  <c r="E546" i="1"/>
  <c r="H546" i="1"/>
  <c r="D546" i="1"/>
  <c r="E548" i="1"/>
  <c r="H548" i="1"/>
  <c r="D548" i="1"/>
  <c r="E550" i="1"/>
  <c r="H550" i="1"/>
  <c r="D550" i="1"/>
  <c r="E552" i="1"/>
  <c r="H552" i="1"/>
  <c r="D552" i="1"/>
  <c r="E554" i="1"/>
  <c r="H554" i="1"/>
  <c r="D554" i="1"/>
  <c r="G558" i="1"/>
  <c r="H559" i="1"/>
  <c r="D559" i="1"/>
  <c r="E559" i="1"/>
  <c r="C559" i="1"/>
  <c r="G566" i="1"/>
  <c r="H567" i="1"/>
  <c r="D567" i="1"/>
  <c r="E567" i="1"/>
  <c r="C567" i="1"/>
  <c r="H569" i="1"/>
  <c r="D569" i="1"/>
  <c r="H571" i="1"/>
  <c r="D571" i="1"/>
  <c r="H573" i="1"/>
  <c r="D573" i="1"/>
  <c r="H575" i="1"/>
  <c r="D575" i="1"/>
  <c r="H577" i="1"/>
  <c r="D577" i="1"/>
  <c r="H579" i="1"/>
  <c r="D579" i="1"/>
  <c r="H581" i="1"/>
  <c r="D581" i="1"/>
  <c r="C581" i="1"/>
  <c r="H588" i="1"/>
  <c r="D588" i="1"/>
  <c r="E588" i="1"/>
  <c r="E606" i="1"/>
  <c r="H606" i="1"/>
  <c r="D606" i="1"/>
  <c r="C606" i="1"/>
  <c r="C661" i="1"/>
  <c r="E661" i="1"/>
  <c r="D661" i="1"/>
  <c r="H661" i="1"/>
  <c r="C569" i="1"/>
  <c r="C571" i="1"/>
  <c r="C573" i="1"/>
  <c r="C575" i="1"/>
  <c r="C577" i="1"/>
  <c r="C579" i="1"/>
  <c r="E581" i="1"/>
  <c r="H586" i="1"/>
  <c r="D586" i="1"/>
  <c r="E586" i="1"/>
  <c r="C588" i="1"/>
  <c r="E598" i="1"/>
  <c r="H598" i="1"/>
  <c r="D598" i="1"/>
  <c r="C598" i="1"/>
  <c r="G611" i="1"/>
  <c r="F611" i="1"/>
  <c r="E569" i="1"/>
  <c r="E571" i="1"/>
  <c r="E573" i="1"/>
  <c r="E575" i="1"/>
  <c r="E577" i="1"/>
  <c r="E579" i="1"/>
  <c r="H584" i="1"/>
  <c r="D584" i="1"/>
  <c r="E584" i="1"/>
  <c r="C586" i="1"/>
  <c r="H592" i="1"/>
  <c r="D592" i="1"/>
  <c r="E592" i="1"/>
  <c r="C592" i="1"/>
  <c r="G603" i="1"/>
  <c r="F603" i="1"/>
  <c r="G597" i="1"/>
  <c r="F597" i="1"/>
  <c r="E600" i="1"/>
  <c r="H600" i="1"/>
  <c r="D600" i="1"/>
  <c r="G605" i="1"/>
  <c r="F605" i="1"/>
  <c r="E608" i="1"/>
  <c r="H608" i="1"/>
  <c r="D608" i="1"/>
  <c r="G613" i="1"/>
  <c r="F613" i="1"/>
  <c r="E669" i="1"/>
  <c r="H669" i="1"/>
  <c r="D669" i="1"/>
  <c r="C669" i="1"/>
  <c r="E677" i="1"/>
  <c r="H677" i="1"/>
  <c r="D677" i="1"/>
  <c r="C677" i="1"/>
  <c r="E685" i="1"/>
  <c r="H685" i="1"/>
  <c r="D685" i="1"/>
  <c r="C685" i="1"/>
  <c r="E693" i="1"/>
  <c r="H693" i="1"/>
  <c r="D693" i="1"/>
  <c r="C693" i="1"/>
  <c r="E701" i="1"/>
  <c r="H701" i="1"/>
  <c r="D701" i="1"/>
  <c r="C701" i="1"/>
  <c r="E594" i="1"/>
  <c r="H594" i="1"/>
  <c r="D594" i="1"/>
  <c r="G599" i="1"/>
  <c r="F599" i="1"/>
  <c r="C600" i="1"/>
  <c r="E602" i="1"/>
  <c r="H602" i="1"/>
  <c r="D602" i="1"/>
  <c r="G607" i="1"/>
  <c r="F607" i="1"/>
  <c r="C608" i="1"/>
  <c r="E610" i="1"/>
  <c r="H610" i="1"/>
  <c r="D610" i="1"/>
  <c r="G615" i="1"/>
  <c r="F615" i="1"/>
  <c r="G617" i="1"/>
  <c r="F617" i="1"/>
  <c r="G619" i="1"/>
  <c r="F619" i="1"/>
  <c r="G621" i="1"/>
  <c r="F621" i="1"/>
  <c r="G623" i="1"/>
  <c r="F623" i="1"/>
  <c r="G625" i="1"/>
  <c r="F625" i="1"/>
  <c r="G627" i="1"/>
  <c r="F627" i="1"/>
  <c r="G629" i="1"/>
  <c r="F629" i="1"/>
  <c r="G631" i="1"/>
  <c r="F631" i="1"/>
  <c r="G633" i="1"/>
  <c r="F633" i="1"/>
  <c r="G635" i="1"/>
  <c r="F635" i="1"/>
  <c r="G637" i="1"/>
  <c r="F637" i="1"/>
  <c r="G639" i="1"/>
  <c r="F639" i="1"/>
  <c r="G641" i="1"/>
  <c r="F641" i="1"/>
  <c r="G643" i="1"/>
  <c r="F643" i="1"/>
  <c r="G645" i="1"/>
  <c r="F645" i="1"/>
  <c r="G647" i="1"/>
  <c r="F647" i="1"/>
  <c r="G649" i="1"/>
  <c r="F649" i="1"/>
  <c r="G651" i="1"/>
  <c r="F651" i="1"/>
  <c r="G653" i="1"/>
  <c r="F653" i="1"/>
  <c r="G655" i="1"/>
  <c r="F655" i="1"/>
  <c r="G657" i="1"/>
  <c r="F657" i="1"/>
  <c r="G659" i="1"/>
  <c r="F659" i="1"/>
  <c r="E699" i="1"/>
  <c r="H699" i="1"/>
  <c r="D699" i="1"/>
  <c r="C699" i="1"/>
  <c r="G593" i="1"/>
  <c r="F593" i="1"/>
  <c r="C594" i="1"/>
  <c r="E596" i="1"/>
  <c r="H596" i="1"/>
  <c r="D596" i="1"/>
  <c r="G601" i="1"/>
  <c r="F601" i="1"/>
  <c r="C602" i="1"/>
  <c r="E604" i="1"/>
  <c r="H604" i="1"/>
  <c r="D604" i="1"/>
  <c r="G609" i="1"/>
  <c r="F609" i="1"/>
  <c r="C610" i="1"/>
  <c r="E612" i="1"/>
  <c r="H612" i="1"/>
  <c r="D612" i="1"/>
  <c r="C663" i="1"/>
  <c r="E663" i="1"/>
  <c r="D663" i="1"/>
  <c r="E665" i="1"/>
  <c r="H665" i="1"/>
  <c r="D665" i="1"/>
  <c r="C665" i="1"/>
  <c r="E673" i="1"/>
  <c r="H673" i="1"/>
  <c r="D673" i="1"/>
  <c r="C673" i="1"/>
  <c r="E681" i="1"/>
  <c r="H681" i="1"/>
  <c r="D681" i="1"/>
  <c r="C681" i="1"/>
  <c r="E689" i="1"/>
  <c r="H689" i="1"/>
  <c r="D689" i="1"/>
  <c r="C689" i="1"/>
  <c r="E697" i="1"/>
  <c r="H697" i="1"/>
  <c r="D697" i="1"/>
  <c r="C697" i="1"/>
  <c r="D616" i="1"/>
  <c r="D618" i="1"/>
  <c r="D620" i="1"/>
  <c r="D622" i="1"/>
  <c r="D624" i="1"/>
  <c r="D626" i="1"/>
  <c r="D628" i="1"/>
  <c r="D630" i="1"/>
  <c r="D632" i="1"/>
  <c r="D634" i="1"/>
  <c r="D636" i="1"/>
  <c r="D638" i="1"/>
  <c r="D640" i="1"/>
  <c r="D642" i="1"/>
  <c r="D644" i="1"/>
  <c r="D646" i="1"/>
  <c r="D648" i="1"/>
  <c r="D650" i="1"/>
  <c r="D652" i="1"/>
  <c r="D654" i="1"/>
  <c r="D656" i="1"/>
  <c r="D658" i="1"/>
  <c r="D660" i="1"/>
  <c r="D662" i="1"/>
  <c r="E667" i="1"/>
  <c r="H667" i="1"/>
  <c r="D667" i="1"/>
  <c r="C667" i="1"/>
  <c r="E671" i="1"/>
  <c r="H671" i="1"/>
  <c r="D671" i="1"/>
  <c r="C671" i="1"/>
  <c r="E675" i="1"/>
  <c r="H675" i="1"/>
  <c r="D675" i="1"/>
  <c r="C675" i="1"/>
  <c r="E679" i="1"/>
  <c r="H679" i="1"/>
  <c r="D679" i="1"/>
  <c r="C679" i="1"/>
  <c r="E683" i="1"/>
  <c r="H683" i="1"/>
  <c r="D683" i="1"/>
  <c r="C683" i="1"/>
  <c r="E687" i="1"/>
  <c r="H687" i="1"/>
  <c r="D687" i="1"/>
  <c r="C687" i="1"/>
  <c r="E691" i="1"/>
  <c r="H691" i="1"/>
  <c r="D691" i="1"/>
  <c r="C691" i="1"/>
  <c r="E695" i="1"/>
  <c r="H695" i="1"/>
  <c r="D695" i="1"/>
  <c r="C695" i="1"/>
  <c r="E666" i="1"/>
  <c r="E668" i="1"/>
  <c r="E670" i="1"/>
  <c r="E672" i="1"/>
  <c r="E674" i="1"/>
  <c r="E676" i="1"/>
  <c r="E678" i="1"/>
  <c r="E680" i="1"/>
  <c r="E682" i="1"/>
  <c r="E684" i="1"/>
  <c r="E686" i="1"/>
  <c r="E688" i="1"/>
  <c r="E690" i="1"/>
  <c r="E692" i="1"/>
  <c r="E694" i="1"/>
  <c r="E696" i="1"/>
  <c r="E698" i="1"/>
  <c r="E700" i="1"/>
  <c r="E702" i="1"/>
  <c r="G700" i="1" l="1"/>
  <c r="F700" i="1"/>
  <c r="G692" i="1"/>
  <c r="F692" i="1"/>
  <c r="G684" i="1"/>
  <c r="F684" i="1"/>
  <c r="G676" i="1"/>
  <c r="F676" i="1"/>
  <c r="G668" i="1"/>
  <c r="F668" i="1"/>
  <c r="G610" i="1"/>
  <c r="F610" i="1"/>
  <c r="G602" i="1"/>
  <c r="F602" i="1"/>
  <c r="G594" i="1"/>
  <c r="F594" i="1"/>
  <c r="F608" i="1"/>
  <c r="G608" i="1"/>
  <c r="G579" i="1"/>
  <c r="F579" i="1"/>
  <c r="G571" i="1"/>
  <c r="F571" i="1"/>
  <c r="G581" i="1"/>
  <c r="F581" i="1"/>
  <c r="G606" i="1"/>
  <c r="F606" i="1"/>
  <c r="G552" i="1"/>
  <c r="F552" i="1"/>
  <c r="G544" i="1"/>
  <c r="F544" i="1"/>
  <c r="G536" i="1"/>
  <c r="F536" i="1"/>
  <c r="G528" i="1"/>
  <c r="F528" i="1"/>
  <c r="G542" i="1"/>
  <c r="F542" i="1"/>
  <c r="G614" i="1"/>
  <c r="F614" i="1"/>
  <c r="G538" i="1"/>
  <c r="F538" i="1"/>
  <c r="F518" i="1"/>
  <c r="G518" i="1"/>
  <c r="F532" i="1"/>
  <c r="G532" i="1"/>
  <c r="F540" i="1"/>
  <c r="G540" i="1"/>
  <c r="F376" i="1"/>
  <c r="G376" i="1"/>
  <c r="F368" i="1"/>
  <c r="G368" i="1"/>
  <c r="F360" i="1"/>
  <c r="G360" i="1"/>
  <c r="F352" i="1"/>
  <c r="G352" i="1"/>
  <c r="F344" i="1"/>
  <c r="G344" i="1"/>
  <c r="F336" i="1"/>
  <c r="G336" i="1"/>
  <c r="G474" i="1"/>
  <c r="F474" i="1"/>
  <c r="G506" i="1"/>
  <c r="F506" i="1"/>
  <c r="G267" i="1"/>
  <c r="F267" i="1"/>
  <c r="G259" i="1"/>
  <c r="F259" i="1"/>
  <c r="G251" i="1"/>
  <c r="F251" i="1"/>
  <c r="G243" i="1"/>
  <c r="F243" i="1"/>
  <c r="G235" i="1"/>
  <c r="F235" i="1"/>
  <c r="G227" i="1"/>
  <c r="F227" i="1"/>
  <c r="G219" i="1"/>
  <c r="F219" i="1"/>
  <c r="G211" i="1"/>
  <c r="F211" i="1"/>
  <c r="G203" i="1"/>
  <c r="F203" i="1"/>
  <c r="G195" i="1"/>
  <c r="F195" i="1"/>
  <c r="G187" i="1"/>
  <c r="F187" i="1"/>
  <c r="G179" i="1"/>
  <c r="F179" i="1"/>
  <c r="G482" i="1"/>
  <c r="F482" i="1"/>
  <c r="F472" i="1"/>
  <c r="G472" i="1"/>
  <c r="F464" i="1"/>
  <c r="G464" i="1"/>
  <c r="G289" i="1"/>
  <c r="F289" i="1"/>
  <c r="G168" i="1"/>
  <c r="F168" i="1"/>
  <c r="G152" i="1"/>
  <c r="F152" i="1"/>
  <c r="G442" i="1"/>
  <c r="F442" i="1"/>
  <c r="G434" i="1"/>
  <c r="F434" i="1"/>
  <c r="G258" i="1"/>
  <c r="F258" i="1"/>
  <c r="G226" i="1"/>
  <c r="F226" i="1"/>
  <c r="G194" i="1"/>
  <c r="F194" i="1"/>
  <c r="G139" i="1"/>
  <c r="F139" i="1"/>
  <c r="G131" i="1"/>
  <c r="F131" i="1"/>
  <c r="G123" i="1"/>
  <c r="F123" i="1"/>
  <c r="G115" i="1"/>
  <c r="F115" i="1"/>
  <c r="G107" i="1"/>
  <c r="F107" i="1"/>
  <c r="S12" i="1"/>
  <c r="G327" i="1"/>
  <c r="F327" i="1"/>
  <c r="G148" i="1"/>
  <c r="F148" i="1"/>
  <c r="G297" i="1"/>
  <c r="F297" i="1"/>
  <c r="G250" i="1"/>
  <c r="F250" i="1"/>
  <c r="G186" i="1"/>
  <c r="F186" i="1"/>
  <c r="G135" i="1"/>
  <c r="F135" i="1"/>
  <c r="G698" i="1"/>
  <c r="F698" i="1"/>
  <c r="G690" i="1"/>
  <c r="F690" i="1"/>
  <c r="G682" i="1"/>
  <c r="F682" i="1"/>
  <c r="G674" i="1"/>
  <c r="F674" i="1"/>
  <c r="G666" i="1"/>
  <c r="F666" i="1"/>
  <c r="G695" i="1"/>
  <c r="F695" i="1"/>
  <c r="G691" i="1"/>
  <c r="F691" i="1"/>
  <c r="G687" i="1"/>
  <c r="F687" i="1"/>
  <c r="G683" i="1"/>
  <c r="F683" i="1"/>
  <c r="G679" i="1"/>
  <c r="F679" i="1"/>
  <c r="G675" i="1"/>
  <c r="F675" i="1"/>
  <c r="G671" i="1"/>
  <c r="F671" i="1"/>
  <c r="G667" i="1"/>
  <c r="F667" i="1"/>
  <c r="G697" i="1"/>
  <c r="F697" i="1"/>
  <c r="G689" i="1"/>
  <c r="F689" i="1"/>
  <c r="G681" i="1"/>
  <c r="F681" i="1"/>
  <c r="G673" i="1"/>
  <c r="F673" i="1"/>
  <c r="G665" i="1"/>
  <c r="F665" i="1"/>
  <c r="G612" i="1"/>
  <c r="F612" i="1"/>
  <c r="G604" i="1"/>
  <c r="F604" i="1"/>
  <c r="G596" i="1"/>
  <c r="F596" i="1"/>
  <c r="G699" i="1"/>
  <c r="F699" i="1"/>
  <c r="G701" i="1"/>
  <c r="F701" i="1"/>
  <c r="G693" i="1"/>
  <c r="F693" i="1"/>
  <c r="G685" i="1"/>
  <c r="F685" i="1"/>
  <c r="G677" i="1"/>
  <c r="F677" i="1"/>
  <c r="G669" i="1"/>
  <c r="F669" i="1"/>
  <c r="F592" i="1"/>
  <c r="G592" i="1"/>
  <c r="G577" i="1"/>
  <c r="F577" i="1"/>
  <c r="G569" i="1"/>
  <c r="F569" i="1"/>
  <c r="G598" i="1"/>
  <c r="F598" i="1"/>
  <c r="G661" i="1"/>
  <c r="F661" i="1"/>
  <c r="F588" i="1"/>
  <c r="G588" i="1"/>
  <c r="G554" i="1"/>
  <c r="F554" i="1"/>
  <c r="G546" i="1"/>
  <c r="F546" i="1"/>
  <c r="F520" i="1"/>
  <c r="G520" i="1"/>
  <c r="G498" i="1"/>
  <c r="F498" i="1"/>
  <c r="G466" i="1"/>
  <c r="F466" i="1"/>
  <c r="F470" i="1"/>
  <c r="G470" i="1"/>
  <c r="G486" i="1"/>
  <c r="F486" i="1"/>
  <c r="F378" i="1"/>
  <c r="G378" i="1"/>
  <c r="F370" i="1"/>
  <c r="G370" i="1"/>
  <c r="F362" i="1"/>
  <c r="G362" i="1"/>
  <c r="F354" i="1"/>
  <c r="G354" i="1"/>
  <c r="F346" i="1"/>
  <c r="G346" i="1"/>
  <c r="F338" i="1"/>
  <c r="G338" i="1"/>
  <c r="F330" i="1"/>
  <c r="G330" i="1"/>
  <c r="G446" i="1"/>
  <c r="F446" i="1"/>
  <c r="G438" i="1"/>
  <c r="F438" i="1"/>
  <c r="G272" i="1"/>
  <c r="F272" i="1"/>
  <c r="G264" i="1"/>
  <c r="F264" i="1"/>
  <c r="G256" i="1"/>
  <c r="F256" i="1"/>
  <c r="G248" i="1"/>
  <c r="F248" i="1"/>
  <c r="G240" i="1"/>
  <c r="F240" i="1"/>
  <c r="G232" i="1"/>
  <c r="F232" i="1"/>
  <c r="G224" i="1"/>
  <c r="F224" i="1"/>
  <c r="G216" i="1"/>
  <c r="F216" i="1"/>
  <c r="G208" i="1"/>
  <c r="F208" i="1"/>
  <c r="G200" i="1"/>
  <c r="F200" i="1"/>
  <c r="G192" i="1"/>
  <c r="F192" i="1"/>
  <c r="G184" i="1"/>
  <c r="F184" i="1"/>
  <c r="G279" i="1"/>
  <c r="F279" i="1"/>
  <c r="G265" i="1"/>
  <c r="F265" i="1"/>
  <c r="G255" i="1"/>
  <c r="F255" i="1"/>
  <c r="G252" i="1"/>
  <c r="F252" i="1"/>
  <c r="G233" i="1"/>
  <c r="F233" i="1"/>
  <c r="G223" i="1"/>
  <c r="F223" i="1"/>
  <c r="G220" i="1"/>
  <c r="F220" i="1"/>
  <c r="G201" i="1"/>
  <c r="F201" i="1"/>
  <c r="G191" i="1"/>
  <c r="F191" i="1"/>
  <c r="G188" i="1"/>
  <c r="F188" i="1"/>
  <c r="G313" i="1"/>
  <c r="F313" i="1"/>
  <c r="G162" i="1"/>
  <c r="F162" i="1"/>
  <c r="S8" i="1"/>
  <c r="S7" i="1"/>
  <c r="S6" i="1"/>
  <c r="G305" i="1"/>
  <c r="F305" i="1"/>
  <c r="G263" i="1"/>
  <c r="F263" i="1"/>
  <c r="G260" i="1"/>
  <c r="F260" i="1"/>
  <c r="G241" i="1"/>
  <c r="F241" i="1"/>
  <c r="G231" i="1"/>
  <c r="F231" i="1"/>
  <c r="G228" i="1"/>
  <c r="F228" i="1"/>
  <c r="G209" i="1"/>
  <c r="F209" i="1"/>
  <c r="G199" i="1"/>
  <c r="F199" i="1"/>
  <c r="G196" i="1"/>
  <c r="F196" i="1"/>
  <c r="G172" i="1"/>
  <c r="F172" i="1"/>
  <c r="G329" i="1"/>
  <c r="F329" i="1"/>
  <c r="G266" i="1"/>
  <c r="F266" i="1"/>
  <c r="G202" i="1"/>
  <c r="F202" i="1"/>
  <c r="G174" i="1"/>
  <c r="F174" i="1"/>
  <c r="G166" i="1"/>
  <c r="F166" i="1"/>
  <c r="G158" i="1"/>
  <c r="F158" i="1"/>
  <c r="G150" i="1"/>
  <c r="F150" i="1"/>
  <c r="G143" i="1"/>
  <c r="F143" i="1"/>
  <c r="G111" i="1"/>
  <c r="F111" i="1"/>
  <c r="G696" i="1"/>
  <c r="F696" i="1"/>
  <c r="G688" i="1"/>
  <c r="F688" i="1"/>
  <c r="G680" i="1"/>
  <c r="F680" i="1"/>
  <c r="G672" i="1"/>
  <c r="F672" i="1"/>
  <c r="G575" i="1"/>
  <c r="F575" i="1"/>
  <c r="G567" i="1"/>
  <c r="F567" i="1"/>
  <c r="G548" i="1"/>
  <c r="F548" i="1"/>
  <c r="G526" i="1"/>
  <c r="F526" i="1"/>
  <c r="G563" i="1"/>
  <c r="F563" i="1"/>
  <c r="G530" i="1"/>
  <c r="F530" i="1"/>
  <c r="F524" i="1"/>
  <c r="G524" i="1"/>
  <c r="F494" i="1"/>
  <c r="G494" i="1"/>
  <c r="F462" i="1"/>
  <c r="G462" i="1"/>
  <c r="F590" i="1"/>
  <c r="G590" i="1"/>
  <c r="G555" i="1"/>
  <c r="F555" i="1"/>
  <c r="F372" i="1"/>
  <c r="G372" i="1"/>
  <c r="F364" i="1"/>
  <c r="G364" i="1"/>
  <c r="F356" i="1"/>
  <c r="G356" i="1"/>
  <c r="F348" i="1"/>
  <c r="G348" i="1"/>
  <c r="F340" i="1"/>
  <c r="G340" i="1"/>
  <c r="F332" i="1"/>
  <c r="G332" i="1"/>
  <c r="G514" i="1"/>
  <c r="F514" i="1"/>
  <c r="F504" i="1"/>
  <c r="G504" i="1"/>
  <c r="F496" i="1"/>
  <c r="G496" i="1"/>
  <c r="G269" i="1"/>
  <c r="F269" i="1"/>
  <c r="G261" i="1"/>
  <c r="F261" i="1"/>
  <c r="G253" i="1"/>
  <c r="F253" i="1"/>
  <c r="G245" i="1"/>
  <c r="F245" i="1"/>
  <c r="G237" i="1"/>
  <c r="F237" i="1"/>
  <c r="G229" i="1"/>
  <c r="F229" i="1"/>
  <c r="G221" i="1"/>
  <c r="F221" i="1"/>
  <c r="G213" i="1"/>
  <c r="F213" i="1"/>
  <c r="G205" i="1"/>
  <c r="F205" i="1"/>
  <c r="G197" i="1"/>
  <c r="F197" i="1"/>
  <c r="G189" i="1"/>
  <c r="F189" i="1"/>
  <c r="G181" i="1"/>
  <c r="F181" i="1"/>
  <c r="G321" i="1"/>
  <c r="F321" i="1"/>
  <c r="G176" i="1"/>
  <c r="F176" i="1"/>
  <c r="G160" i="1"/>
  <c r="F160" i="1"/>
  <c r="G303" i="1"/>
  <c r="F303" i="1"/>
  <c r="G242" i="1"/>
  <c r="F242" i="1"/>
  <c r="G210" i="1"/>
  <c r="F210" i="1"/>
  <c r="G178" i="1"/>
  <c r="F178" i="1"/>
  <c r="G295" i="1"/>
  <c r="F295" i="1"/>
  <c r="G164" i="1"/>
  <c r="F164" i="1"/>
  <c r="F145" i="1"/>
  <c r="G145" i="1"/>
  <c r="F137" i="1"/>
  <c r="G137" i="1"/>
  <c r="F129" i="1"/>
  <c r="G129" i="1"/>
  <c r="F121" i="1"/>
  <c r="G121" i="1"/>
  <c r="F113" i="1"/>
  <c r="G113" i="1"/>
  <c r="F105" i="1"/>
  <c r="G105" i="1"/>
  <c r="S4" i="1"/>
  <c r="S3" i="1"/>
  <c r="G218" i="1"/>
  <c r="F218" i="1"/>
  <c r="G119" i="1"/>
  <c r="F119" i="1"/>
  <c r="G702" i="1"/>
  <c r="F702" i="1"/>
  <c r="G694" i="1"/>
  <c r="F694" i="1"/>
  <c r="G686" i="1"/>
  <c r="F686" i="1"/>
  <c r="G678" i="1"/>
  <c r="F678" i="1"/>
  <c r="G670" i="1"/>
  <c r="F670" i="1"/>
  <c r="G663" i="1"/>
  <c r="F663" i="1"/>
  <c r="F600" i="1"/>
  <c r="G600" i="1"/>
  <c r="F584" i="1"/>
  <c r="G584" i="1"/>
  <c r="G573" i="1"/>
  <c r="F573" i="1"/>
  <c r="F586" i="1"/>
  <c r="G586" i="1"/>
  <c r="F559" i="1"/>
  <c r="G559" i="1"/>
  <c r="G550" i="1"/>
  <c r="F550" i="1"/>
  <c r="F565" i="1"/>
  <c r="G565" i="1"/>
  <c r="F557" i="1"/>
  <c r="G557" i="1"/>
  <c r="G534" i="1"/>
  <c r="F534" i="1"/>
  <c r="G561" i="1"/>
  <c r="F561" i="1"/>
  <c r="F488" i="1"/>
  <c r="G488" i="1"/>
  <c r="F456" i="1"/>
  <c r="G456" i="1"/>
  <c r="F502" i="1"/>
  <c r="G502" i="1"/>
  <c r="G454" i="1"/>
  <c r="F454" i="1"/>
  <c r="F374" i="1"/>
  <c r="G374" i="1"/>
  <c r="F366" i="1"/>
  <c r="G366" i="1"/>
  <c r="F358" i="1"/>
  <c r="G358" i="1"/>
  <c r="F350" i="1"/>
  <c r="G350" i="1"/>
  <c r="F342" i="1"/>
  <c r="G342" i="1"/>
  <c r="F334" i="1"/>
  <c r="G334" i="1"/>
  <c r="G270" i="1"/>
  <c r="F270" i="1"/>
  <c r="G262" i="1"/>
  <c r="F262" i="1"/>
  <c r="G254" i="1"/>
  <c r="F254" i="1"/>
  <c r="G246" i="1"/>
  <c r="F246" i="1"/>
  <c r="G238" i="1"/>
  <c r="F238" i="1"/>
  <c r="G230" i="1"/>
  <c r="F230" i="1"/>
  <c r="G222" i="1"/>
  <c r="F222" i="1"/>
  <c r="G214" i="1"/>
  <c r="F214" i="1"/>
  <c r="G206" i="1"/>
  <c r="F206" i="1"/>
  <c r="G198" i="1"/>
  <c r="F198" i="1"/>
  <c r="G190" i="1"/>
  <c r="F190" i="1"/>
  <c r="G182" i="1"/>
  <c r="F182" i="1"/>
  <c r="G311" i="1"/>
  <c r="F311" i="1"/>
  <c r="G271" i="1"/>
  <c r="F271" i="1"/>
  <c r="G268" i="1"/>
  <c r="F268" i="1"/>
  <c r="G249" i="1"/>
  <c r="F249" i="1"/>
  <c r="G239" i="1"/>
  <c r="F239" i="1"/>
  <c r="G236" i="1"/>
  <c r="F236" i="1"/>
  <c r="G217" i="1"/>
  <c r="F217" i="1"/>
  <c r="G207" i="1"/>
  <c r="F207" i="1"/>
  <c r="G204" i="1"/>
  <c r="F204" i="1"/>
  <c r="G185" i="1"/>
  <c r="F185" i="1"/>
  <c r="G141" i="1"/>
  <c r="F141" i="1"/>
  <c r="G133" i="1"/>
  <c r="F133" i="1"/>
  <c r="G125" i="1"/>
  <c r="F125" i="1"/>
  <c r="G117" i="1"/>
  <c r="F117" i="1"/>
  <c r="G109" i="1"/>
  <c r="F109" i="1"/>
  <c r="G450" i="1"/>
  <c r="F450" i="1"/>
  <c r="G281" i="1"/>
  <c r="F281" i="1"/>
  <c r="G170" i="1"/>
  <c r="F170" i="1"/>
  <c r="G154" i="1"/>
  <c r="F154" i="1"/>
  <c r="G273" i="1"/>
  <c r="F273" i="1"/>
  <c r="G257" i="1"/>
  <c r="F257" i="1"/>
  <c r="G247" i="1"/>
  <c r="F247" i="1"/>
  <c r="G244" i="1"/>
  <c r="F244" i="1"/>
  <c r="G225" i="1"/>
  <c r="F225" i="1"/>
  <c r="G215" i="1"/>
  <c r="F215" i="1"/>
  <c r="G212" i="1"/>
  <c r="F212" i="1"/>
  <c r="G193" i="1"/>
  <c r="F193" i="1"/>
  <c r="G183" i="1"/>
  <c r="F183" i="1"/>
  <c r="G180" i="1"/>
  <c r="F180" i="1"/>
  <c r="G156" i="1"/>
  <c r="F156" i="1"/>
  <c r="G510" i="1"/>
  <c r="F510" i="1"/>
  <c r="G478" i="1"/>
  <c r="F478" i="1"/>
  <c r="G234" i="1"/>
  <c r="F234" i="1"/>
  <c r="G127" i="1"/>
  <c r="F127" i="1"/>
  <c r="S10" i="1" l="1"/>
</calcChain>
</file>

<file path=xl/sharedStrings.xml><?xml version="1.0" encoding="utf-8"?>
<sst xmlns="http://schemas.openxmlformats.org/spreadsheetml/2006/main" count="26" uniqueCount="26">
  <si>
    <t>x</t>
  </si>
  <si>
    <t>μ(x)</t>
  </si>
  <si>
    <t xml:space="preserve">μ ≥ 0.5 </t>
  </si>
  <si>
    <t>x, где μ=1</t>
  </si>
  <si>
    <t>μ'(x)</t>
  </si>
  <si>
    <t>x·μ'(x)·Δx</t>
  </si>
  <si>
    <t>μ'(x)·Δx</t>
  </si>
  <si>
    <t xml:space="preserve">μ ≥ 0.4 </t>
  </si>
  <si>
    <t>Левый край (x_L):</t>
  </si>
  <si>
    <t>Правый край (x_R):</t>
  </si>
  <si>
    <t>Первый максимум (FOM):</t>
  </si>
  <si>
    <t>Последний максимум (LOM):</t>
  </si>
  <si>
    <t>Средний максимум (MOM):</t>
  </si>
  <si>
    <t>COG (усечённая, k=0.5)</t>
  </si>
  <si>
    <t>Центр среза (k=0.4)</t>
  </si>
  <si>
    <t>Ус_0.5_заливка</t>
  </si>
  <si>
    <t>Линия_0.5</t>
  </si>
  <si>
    <t>Ус_0.4_заливка</t>
  </si>
  <si>
    <t>Линия_0.4</t>
  </si>
  <si>
    <t>Точки_X</t>
  </si>
  <si>
    <t>Точки_Y</t>
  </si>
  <si>
    <t>Вертик_линии_X</t>
  </si>
  <si>
    <t>Вертик_линии_Y</t>
  </si>
  <si>
    <t xml:space="preserve"> #Н/Д</t>
  </si>
  <si>
    <t>X_прямоугольник</t>
  </si>
  <si>
    <t>Y_прямоугольник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</si>
</sst>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1"/>
      <color rgb="FF0F1115"/>
      <name val="Segoe UI"/>
      <family val="2"/>
      <charset val="204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1"/>
      <color rgb="FF0F1115"/>
      <name val="Quote-cjk-patch"/>
      <charset val="204"/>
    </font>
    <font>
      <sz val="8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9" fillId="3" borderId="0" xfId="0" applyFont="1" applyFill="1" applyAlignment="1">
      <alignment horizontal="left" vertical="center" wrapText="1" indent="1"/>
    </xf>
    <xf numFmtId="2" fontId="4" fillId="3" borderId="0" xfId="0" applyNumberFormat="1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Дефаззификация (</a:t>
            </a:r>
            <a:r>
              <a:rPr lang="en-US"/>
              <a:t>k=0.5)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2563188990962835E-2"/>
          <c:y val="0.16742001473830739"/>
          <c:w val="0.87301202222911412"/>
          <c:h val="0.67977083319639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μ(x)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Лист1!$A$2:$A$1000</c:f>
              <c:numCache>
                <c:formatCode>General</c:formatCode>
                <c:ptCount val="9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</c:numCache>
            </c:numRef>
          </c:xVal>
          <c:yVal>
            <c:numRef>
              <c:f>Лист1!$B$2:$B$1000</c:f>
              <c:numCache>
                <c:formatCode>General</c:formatCode>
                <c:ptCount val="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1.3387571719134286E-2</c:v>
                </c:pt>
                <c:pt idx="286">
                  <c:v>2.8566224461917054E-2</c:v>
                </c:pt>
                <c:pt idx="287">
                  <c:v>4.374487720469928E-2</c:v>
                </c:pt>
                <c:pt idx="288">
                  <c:v>5.8923529947482046E-2</c:v>
                </c:pt>
                <c:pt idx="289">
                  <c:v>7.4102182690264279E-2</c:v>
                </c:pt>
                <c:pt idx="290">
                  <c:v>8.9280835433047046E-2</c:v>
                </c:pt>
                <c:pt idx="291">
                  <c:v>0.10445948817582981</c:v>
                </c:pt>
                <c:pt idx="292">
                  <c:v>0.11963814091861204</c:v>
                </c:pt>
                <c:pt idx="293">
                  <c:v>0.13481679366139482</c:v>
                </c:pt>
                <c:pt idx="294">
                  <c:v>0.14999544640417703</c:v>
                </c:pt>
                <c:pt idx="295">
                  <c:v>0.1651740991469598</c:v>
                </c:pt>
                <c:pt idx="296">
                  <c:v>0.18035275188974256</c:v>
                </c:pt>
                <c:pt idx="297">
                  <c:v>0.1955314046325248</c:v>
                </c:pt>
                <c:pt idx="298">
                  <c:v>0.21071005737530757</c:v>
                </c:pt>
                <c:pt idx="299">
                  <c:v>0.22588871011808978</c:v>
                </c:pt>
                <c:pt idx="300">
                  <c:v>0.24106736286087255</c:v>
                </c:pt>
                <c:pt idx="301">
                  <c:v>0.25624601560365534</c:v>
                </c:pt>
                <c:pt idx="302">
                  <c:v>0.27142466834643758</c:v>
                </c:pt>
                <c:pt idx="303">
                  <c:v>0.28660332108922032</c:v>
                </c:pt>
                <c:pt idx="304">
                  <c:v>0.30178197383200256</c:v>
                </c:pt>
                <c:pt idx="305">
                  <c:v>0.3169606265747853</c:v>
                </c:pt>
                <c:pt idx="306">
                  <c:v>0.33213927931756809</c:v>
                </c:pt>
                <c:pt idx="307">
                  <c:v>0.34731793206035033</c:v>
                </c:pt>
                <c:pt idx="308">
                  <c:v>0.36249658480313307</c:v>
                </c:pt>
                <c:pt idx="309">
                  <c:v>0.37767523754591531</c:v>
                </c:pt>
                <c:pt idx="310">
                  <c:v>0.39285389028869805</c:v>
                </c:pt>
                <c:pt idx="311">
                  <c:v>0.40803254303148084</c:v>
                </c:pt>
                <c:pt idx="312">
                  <c:v>0.42321119577426308</c:v>
                </c:pt>
                <c:pt idx="313">
                  <c:v>0.43838984851704582</c:v>
                </c:pt>
                <c:pt idx="314">
                  <c:v>0.45356850125982806</c:v>
                </c:pt>
                <c:pt idx="315">
                  <c:v>0.46874715400261086</c:v>
                </c:pt>
                <c:pt idx="316">
                  <c:v>0.48392580674539359</c:v>
                </c:pt>
                <c:pt idx="317">
                  <c:v>0.49910445948817583</c:v>
                </c:pt>
                <c:pt idx="318">
                  <c:v>0.51428311223095857</c:v>
                </c:pt>
                <c:pt idx="319">
                  <c:v>0.52946176497374087</c:v>
                </c:pt>
                <c:pt idx="320">
                  <c:v>0.54464041771652361</c:v>
                </c:pt>
                <c:pt idx="321">
                  <c:v>0.55981907045930634</c:v>
                </c:pt>
                <c:pt idx="322">
                  <c:v>0.57499772320208908</c:v>
                </c:pt>
                <c:pt idx="323">
                  <c:v>0.59017637594487082</c:v>
                </c:pt>
                <c:pt idx="324">
                  <c:v>0.60535502868765356</c:v>
                </c:pt>
                <c:pt idx="325">
                  <c:v>0.6205336814304363</c:v>
                </c:pt>
                <c:pt idx="326">
                  <c:v>0.63571233417321915</c:v>
                </c:pt>
                <c:pt idx="327">
                  <c:v>0.65089098691600189</c:v>
                </c:pt>
                <c:pt idx="328">
                  <c:v>0.66606963965878352</c:v>
                </c:pt>
                <c:pt idx="329">
                  <c:v>0.68124829240156637</c:v>
                </c:pt>
                <c:pt idx="330">
                  <c:v>0.69642694514434911</c:v>
                </c:pt>
                <c:pt idx="331">
                  <c:v>0.71160559788713185</c:v>
                </c:pt>
                <c:pt idx="332">
                  <c:v>0.72678425062991459</c:v>
                </c:pt>
                <c:pt idx="333">
                  <c:v>0.74196290337269633</c:v>
                </c:pt>
                <c:pt idx="334">
                  <c:v>0.75714155611547906</c:v>
                </c:pt>
                <c:pt idx="335">
                  <c:v>0.77232020885826191</c:v>
                </c:pt>
                <c:pt idx="336">
                  <c:v>0.78749886160104465</c:v>
                </c:pt>
                <c:pt idx="337">
                  <c:v>0.80267751434382739</c:v>
                </c:pt>
                <c:pt idx="338">
                  <c:v>0.81785616708660913</c:v>
                </c:pt>
                <c:pt idx="339">
                  <c:v>0.83303481982939187</c:v>
                </c:pt>
                <c:pt idx="340">
                  <c:v>0.84821347257217461</c:v>
                </c:pt>
                <c:pt idx="341">
                  <c:v>0.86339212531495735</c:v>
                </c:pt>
                <c:pt idx="342">
                  <c:v>0.8785707780577402</c:v>
                </c:pt>
                <c:pt idx="343">
                  <c:v>0.89374943080052183</c:v>
                </c:pt>
                <c:pt idx="344">
                  <c:v>0.90892808354330457</c:v>
                </c:pt>
                <c:pt idx="345">
                  <c:v>0.92410673628608742</c:v>
                </c:pt>
                <c:pt idx="346">
                  <c:v>0.93928538902887015</c:v>
                </c:pt>
                <c:pt idx="347">
                  <c:v>0.95446404177165289</c:v>
                </c:pt>
                <c:pt idx="348">
                  <c:v>0.96964269451443463</c:v>
                </c:pt>
                <c:pt idx="349">
                  <c:v>0.98482134725721737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0.99171746620726187</c:v>
                </c:pt>
                <c:pt idx="502">
                  <c:v>0.98343493241452384</c:v>
                </c:pt>
                <c:pt idx="503">
                  <c:v>0.97515239862178649</c:v>
                </c:pt>
                <c:pt idx="504">
                  <c:v>0.96686986482904846</c:v>
                </c:pt>
                <c:pt idx="505">
                  <c:v>0.95858733103631044</c:v>
                </c:pt>
                <c:pt idx="506">
                  <c:v>0.95030479724357253</c:v>
                </c:pt>
                <c:pt idx="507">
                  <c:v>0.94202226345083451</c:v>
                </c:pt>
                <c:pt idx="508">
                  <c:v>0.93373972965809715</c:v>
                </c:pt>
                <c:pt idx="509">
                  <c:v>0.92545719586535913</c:v>
                </c:pt>
                <c:pt idx="510">
                  <c:v>0.91717466207262111</c:v>
                </c:pt>
                <c:pt idx="511">
                  <c:v>0.90889212827988308</c:v>
                </c:pt>
                <c:pt idx="512">
                  <c:v>0.90060959448714517</c:v>
                </c:pt>
                <c:pt idx="513">
                  <c:v>0.8923270606944077</c:v>
                </c:pt>
                <c:pt idx="514">
                  <c:v>0.88404452690166979</c:v>
                </c:pt>
                <c:pt idx="515">
                  <c:v>0.87576199310893177</c:v>
                </c:pt>
                <c:pt idx="516">
                  <c:v>0.86747945931619375</c:v>
                </c:pt>
                <c:pt idx="517">
                  <c:v>0.85919692552345572</c:v>
                </c:pt>
                <c:pt idx="518">
                  <c:v>0.85091439173071837</c:v>
                </c:pt>
                <c:pt idx="519">
                  <c:v>0.84263185793798034</c:v>
                </c:pt>
                <c:pt idx="520">
                  <c:v>0.83434932414524232</c:v>
                </c:pt>
                <c:pt idx="521">
                  <c:v>0.82606679035250441</c:v>
                </c:pt>
                <c:pt idx="522">
                  <c:v>0.81778425655976639</c:v>
                </c:pt>
                <c:pt idx="523">
                  <c:v>0.80950172276702903</c:v>
                </c:pt>
                <c:pt idx="524">
                  <c:v>0.80121918897429101</c:v>
                </c:pt>
                <c:pt idx="525">
                  <c:v>0.79293665518155299</c:v>
                </c:pt>
                <c:pt idx="526">
                  <c:v>0.78465412138881496</c:v>
                </c:pt>
                <c:pt idx="527">
                  <c:v>0.77637158759607705</c:v>
                </c:pt>
                <c:pt idx="528">
                  <c:v>0.76808905380333958</c:v>
                </c:pt>
                <c:pt idx="529">
                  <c:v>0.75980652001060167</c:v>
                </c:pt>
                <c:pt idx="530">
                  <c:v>0.75152398621786365</c:v>
                </c:pt>
                <c:pt idx="531">
                  <c:v>0.74324145242512563</c:v>
                </c:pt>
                <c:pt idx="532">
                  <c:v>0.7349589186323876</c:v>
                </c:pt>
                <c:pt idx="533">
                  <c:v>0.72667638483965025</c:v>
                </c:pt>
                <c:pt idx="534">
                  <c:v>0.71839385104691222</c:v>
                </c:pt>
                <c:pt idx="535">
                  <c:v>0.71011131725417431</c:v>
                </c:pt>
                <c:pt idx="536">
                  <c:v>0.70182878346143629</c:v>
                </c:pt>
                <c:pt idx="537">
                  <c:v>0.69354624966869827</c:v>
                </c:pt>
                <c:pt idx="538">
                  <c:v>0.68526371587596091</c:v>
                </c:pt>
                <c:pt idx="539">
                  <c:v>0.67698118208322289</c:v>
                </c:pt>
                <c:pt idx="540">
                  <c:v>0.66869864829048486</c:v>
                </c:pt>
                <c:pt idx="541">
                  <c:v>0.66041611449774695</c:v>
                </c:pt>
                <c:pt idx="542">
                  <c:v>0.65213358070500893</c:v>
                </c:pt>
                <c:pt idx="543">
                  <c:v>0.64385104691227146</c:v>
                </c:pt>
                <c:pt idx="544">
                  <c:v>0.63556851311953355</c:v>
                </c:pt>
                <c:pt idx="545">
                  <c:v>0.62728597932679553</c:v>
                </c:pt>
                <c:pt idx="546">
                  <c:v>0.61900344553405751</c:v>
                </c:pt>
                <c:pt idx="547">
                  <c:v>0.61072091174131959</c:v>
                </c:pt>
                <c:pt idx="548">
                  <c:v>0.60243837794858213</c:v>
                </c:pt>
                <c:pt idx="549">
                  <c:v>0.5941558441558441</c:v>
                </c:pt>
                <c:pt idx="550">
                  <c:v>0.58587331036310619</c:v>
                </c:pt>
                <c:pt idx="551">
                  <c:v>0.57759077657036817</c:v>
                </c:pt>
                <c:pt idx="552">
                  <c:v>0.56930824277763015</c:v>
                </c:pt>
                <c:pt idx="553">
                  <c:v>0.56102570898489279</c:v>
                </c:pt>
                <c:pt idx="554">
                  <c:v>0.55274317519215477</c:v>
                </c:pt>
                <c:pt idx="555">
                  <c:v>0.54446064139941674</c:v>
                </c:pt>
                <c:pt idx="556">
                  <c:v>0.53617810760667883</c:v>
                </c:pt>
                <c:pt idx="557">
                  <c:v>0.52789557381394081</c:v>
                </c:pt>
                <c:pt idx="558">
                  <c:v>0.51961304002120345</c:v>
                </c:pt>
                <c:pt idx="559">
                  <c:v>0.51133050622846543</c:v>
                </c:pt>
                <c:pt idx="560">
                  <c:v>0.50304797243572741</c:v>
                </c:pt>
                <c:pt idx="561">
                  <c:v>0.49476543864298944</c:v>
                </c:pt>
                <c:pt idx="562">
                  <c:v>0.48648290485025142</c:v>
                </c:pt>
                <c:pt idx="563">
                  <c:v>0.47820037105751406</c:v>
                </c:pt>
                <c:pt idx="564">
                  <c:v>0.46991783726477604</c:v>
                </c:pt>
                <c:pt idx="565">
                  <c:v>0.46163530347203807</c:v>
                </c:pt>
                <c:pt idx="566">
                  <c:v>0.45335276967930005</c:v>
                </c:pt>
                <c:pt idx="567">
                  <c:v>0.44507023588656208</c:v>
                </c:pt>
                <c:pt idx="568">
                  <c:v>0.43678770209382467</c:v>
                </c:pt>
                <c:pt idx="569">
                  <c:v>0.4285051683010867</c:v>
                </c:pt>
                <c:pt idx="570">
                  <c:v>0.42022263450834868</c:v>
                </c:pt>
                <c:pt idx="571">
                  <c:v>0.41194010071561071</c:v>
                </c:pt>
                <c:pt idx="572">
                  <c:v>0.40365756692287269</c:v>
                </c:pt>
                <c:pt idx="573">
                  <c:v>0.39537503313013528</c:v>
                </c:pt>
                <c:pt idx="574">
                  <c:v>0.38709249933739731</c:v>
                </c:pt>
                <c:pt idx="575">
                  <c:v>0.37880996554465929</c:v>
                </c:pt>
                <c:pt idx="576">
                  <c:v>0.37052743175192132</c:v>
                </c:pt>
                <c:pt idx="577">
                  <c:v>0.36224489795918335</c:v>
                </c:pt>
                <c:pt idx="578">
                  <c:v>0.35396236416644594</c:v>
                </c:pt>
                <c:pt idx="579">
                  <c:v>0.34567983037370792</c:v>
                </c:pt>
                <c:pt idx="580">
                  <c:v>0.33739729658096995</c:v>
                </c:pt>
                <c:pt idx="581">
                  <c:v>0.32911476278823193</c:v>
                </c:pt>
                <c:pt idx="582">
                  <c:v>0.32083222899549396</c:v>
                </c:pt>
                <c:pt idx="583">
                  <c:v>0.31254969520275655</c:v>
                </c:pt>
                <c:pt idx="584">
                  <c:v>0.30426716141001858</c:v>
                </c:pt>
                <c:pt idx="585">
                  <c:v>0.29598462761728056</c:v>
                </c:pt>
                <c:pt idx="586">
                  <c:v>0.28770209382454259</c:v>
                </c:pt>
                <c:pt idx="587">
                  <c:v>0.27941956003180457</c:v>
                </c:pt>
                <c:pt idx="588">
                  <c:v>0.27113702623906721</c:v>
                </c:pt>
                <c:pt idx="589">
                  <c:v>0.26285449244632919</c:v>
                </c:pt>
                <c:pt idx="590">
                  <c:v>0.25457195865359122</c:v>
                </c:pt>
                <c:pt idx="591">
                  <c:v>0.24628942486085323</c:v>
                </c:pt>
                <c:pt idx="592">
                  <c:v>0.23800689106811523</c:v>
                </c:pt>
                <c:pt idx="593">
                  <c:v>0.22972435727537782</c:v>
                </c:pt>
                <c:pt idx="594">
                  <c:v>0.22144182348263983</c:v>
                </c:pt>
                <c:pt idx="595">
                  <c:v>0.21315928968990183</c:v>
                </c:pt>
                <c:pt idx="596">
                  <c:v>0.20487675589716384</c:v>
                </c:pt>
                <c:pt idx="597">
                  <c:v>0.19659422210442584</c:v>
                </c:pt>
                <c:pt idx="598">
                  <c:v>0.18831168831168846</c:v>
                </c:pt>
                <c:pt idx="599">
                  <c:v>0.18002915451895046</c:v>
                </c:pt>
                <c:pt idx="600">
                  <c:v>0.17174662072621247</c:v>
                </c:pt>
                <c:pt idx="601">
                  <c:v>0.16346408693347447</c:v>
                </c:pt>
                <c:pt idx="602">
                  <c:v>0.15518155314073648</c:v>
                </c:pt>
                <c:pt idx="603">
                  <c:v>0.14689901934799909</c:v>
                </c:pt>
                <c:pt idx="604">
                  <c:v>0.1386164855552611</c:v>
                </c:pt>
                <c:pt idx="605">
                  <c:v>0.1303339517625231</c:v>
                </c:pt>
                <c:pt idx="606">
                  <c:v>0.12205141796978511</c:v>
                </c:pt>
                <c:pt idx="607">
                  <c:v>0.11376888417704711</c:v>
                </c:pt>
                <c:pt idx="608">
                  <c:v>0.10548635038430972</c:v>
                </c:pt>
                <c:pt idx="609">
                  <c:v>9.7203816591571721E-2</c:v>
                </c:pt>
                <c:pt idx="610">
                  <c:v>8.8921282798833726E-2</c:v>
                </c:pt>
                <c:pt idx="611">
                  <c:v>8.0638749006095745E-2</c:v>
                </c:pt>
                <c:pt idx="612">
                  <c:v>7.235621521335775E-2</c:v>
                </c:pt>
                <c:pt idx="613">
                  <c:v>6.4073681420620351E-2</c:v>
                </c:pt>
                <c:pt idx="614">
                  <c:v>5.579114762788235E-2</c:v>
                </c:pt>
                <c:pt idx="615">
                  <c:v>4.7508613835144362E-2</c:v>
                </c:pt>
                <c:pt idx="616">
                  <c:v>3.9226080042406367E-2</c:v>
                </c:pt>
                <c:pt idx="617">
                  <c:v>3.0943546249668379E-2</c:v>
                </c:pt>
                <c:pt idx="618">
                  <c:v>2.2661012456930977E-2</c:v>
                </c:pt>
                <c:pt idx="619">
                  <c:v>1.4378478664192984E-2</c:v>
                </c:pt>
                <c:pt idx="620">
                  <c:v>6.0959448714549922E-3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A-4C28-A837-272E017079EA}"/>
            </c:ext>
          </c:extLst>
        </c:ser>
        <c:ser>
          <c:idx val="1"/>
          <c:order val="1"/>
          <c:tx>
            <c:strRef>
              <c:f>Лист1!$I$1</c:f>
              <c:strCache>
                <c:ptCount val="1"/>
                <c:pt idx="0">
                  <c:v>Ус_0.5_заливка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Лист1!$A$2:$A$1000</c:f>
              <c:numCache>
                <c:formatCode>General</c:formatCode>
                <c:ptCount val="9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</c:numCache>
            </c:numRef>
          </c:xVal>
          <c:yVal>
            <c:numRef>
              <c:f>Лист1!$I$2:$I$1000</c:f>
              <c:numCache>
                <c:formatCode>General</c:formatCode>
                <c:ptCount val="9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0.51428311223095857</c:v>
                </c:pt>
                <c:pt idx="319">
                  <c:v>0.52946176497374087</c:v>
                </c:pt>
                <c:pt idx="320">
                  <c:v>0.54464041771652361</c:v>
                </c:pt>
                <c:pt idx="321">
                  <c:v>0.55981907045930634</c:v>
                </c:pt>
                <c:pt idx="322">
                  <c:v>0.57499772320208908</c:v>
                </c:pt>
                <c:pt idx="323">
                  <c:v>0.59017637594487082</c:v>
                </c:pt>
                <c:pt idx="324">
                  <c:v>0.60535502868765356</c:v>
                </c:pt>
                <c:pt idx="325">
                  <c:v>0.6205336814304363</c:v>
                </c:pt>
                <c:pt idx="326">
                  <c:v>0.63571233417321915</c:v>
                </c:pt>
                <c:pt idx="327">
                  <c:v>0.65089098691600189</c:v>
                </c:pt>
                <c:pt idx="328">
                  <c:v>0.66606963965878352</c:v>
                </c:pt>
                <c:pt idx="329">
                  <c:v>0.68124829240156637</c:v>
                </c:pt>
                <c:pt idx="330">
                  <c:v>0.69642694514434911</c:v>
                </c:pt>
                <c:pt idx="331">
                  <c:v>0.71160559788713185</c:v>
                </c:pt>
                <c:pt idx="332">
                  <c:v>0.72678425062991459</c:v>
                </c:pt>
                <c:pt idx="333">
                  <c:v>0.74196290337269633</c:v>
                </c:pt>
                <c:pt idx="334">
                  <c:v>0.75714155611547906</c:v>
                </c:pt>
                <c:pt idx="335">
                  <c:v>0.77232020885826191</c:v>
                </c:pt>
                <c:pt idx="336">
                  <c:v>0.78749886160104465</c:v>
                </c:pt>
                <c:pt idx="337">
                  <c:v>0.80267751434382739</c:v>
                </c:pt>
                <c:pt idx="338">
                  <c:v>0.81785616708660913</c:v>
                </c:pt>
                <c:pt idx="339">
                  <c:v>0.83303481982939187</c:v>
                </c:pt>
                <c:pt idx="340">
                  <c:v>0.84821347257217461</c:v>
                </c:pt>
                <c:pt idx="341">
                  <c:v>0.86339212531495735</c:v>
                </c:pt>
                <c:pt idx="342">
                  <c:v>0.8785707780577402</c:v>
                </c:pt>
                <c:pt idx="343">
                  <c:v>0.89374943080052183</c:v>
                </c:pt>
                <c:pt idx="344">
                  <c:v>0.90892808354330457</c:v>
                </c:pt>
                <c:pt idx="345">
                  <c:v>0.92410673628608742</c:v>
                </c:pt>
                <c:pt idx="346">
                  <c:v>0.93928538902887015</c:v>
                </c:pt>
                <c:pt idx="347">
                  <c:v>0.95446404177165289</c:v>
                </c:pt>
                <c:pt idx="348">
                  <c:v>0.96964269451443463</c:v>
                </c:pt>
                <c:pt idx="349">
                  <c:v>0.98482134725721737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0.99171746620726187</c:v>
                </c:pt>
                <c:pt idx="502">
                  <c:v>0.98343493241452384</c:v>
                </c:pt>
                <c:pt idx="503">
                  <c:v>0.97515239862178649</c:v>
                </c:pt>
                <c:pt idx="504">
                  <c:v>0.96686986482904846</c:v>
                </c:pt>
                <c:pt idx="505">
                  <c:v>0.95858733103631044</c:v>
                </c:pt>
                <c:pt idx="506">
                  <c:v>0.95030479724357253</c:v>
                </c:pt>
                <c:pt idx="507">
                  <c:v>0.94202226345083451</c:v>
                </c:pt>
                <c:pt idx="508">
                  <c:v>0.93373972965809715</c:v>
                </c:pt>
                <c:pt idx="509">
                  <c:v>0.92545719586535913</c:v>
                </c:pt>
                <c:pt idx="510">
                  <c:v>0.91717466207262111</c:v>
                </c:pt>
                <c:pt idx="511">
                  <c:v>0.90889212827988308</c:v>
                </c:pt>
                <c:pt idx="512">
                  <c:v>0.90060959448714517</c:v>
                </c:pt>
                <c:pt idx="513">
                  <c:v>0.8923270606944077</c:v>
                </c:pt>
                <c:pt idx="514">
                  <c:v>0.88404452690166979</c:v>
                </c:pt>
                <c:pt idx="515">
                  <c:v>0.87576199310893177</c:v>
                </c:pt>
                <c:pt idx="516">
                  <c:v>0.86747945931619375</c:v>
                </c:pt>
                <c:pt idx="517">
                  <c:v>0.85919692552345572</c:v>
                </c:pt>
                <c:pt idx="518">
                  <c:v>0.85091439173071837</c:v>
                </c:pt>
                <c:pt idx="519">
                  <c:v>0.84263185793798034</c:v>
                </c:pt>
                <c:pt idx="520">
                  <c:v>0.83434932414524232</c:v>
                </c:pt>
                <c:pt idx="521">
                  <c:v>0.82606679035250441</c:v>
                </c:pt>
                <c:pt idx="522">
                  <c:v>0.81778425655976639</c:v>
                </c:pt>
                <c:pt idx="523">
                  <c:v>0.80950172276702903</c:v>
                </c:pt>
                <c:pt idx="524">
                  <c:v>0.80121918897429101</c:v>
                </c:pt>
                <c:pt idx="525">
                  <c:v>0.79293665518155299</c:v>
                </c:pt>
                <c:pt idx="526">
                  <c:v>0.78465412138881496</c:v>
                </c:pt>
                <c:pt idx="527">
                  <c:v>0.77637158759607705</c:v>
                </c:pt>
                <c:pt idx="528">
                  <c:v>0.76808905380333958</c:v>
                </c:pt>
                <c:pt idx="529">
                  <c:v>0.75980652001060167</c:v>
                </c:pt>
                <c:pt idx="530">
                  <c:v>0.75152398621786365</c:v>
                </c:pt>
                <c:pt idx="531">
                  <c:v>0.74324145242512563</c:v>
                </c:pt>
                <c:pt idx="532">
                  <c:v>0.7349589186323876</c:v>
                </c:pt>
                <c:pt idx="533">
                  <c:v>0.72667638483965025</c:v>
                </c:pt>
                <c:pt idx="534">
                  <c:v>0.71839385104691222</c:v>
                </c:pt>
                <c:pt idx="535">
                  <c:v>0.71011131725417431</c:v>
                </c:pt>
                <c:pt idx="536">
                  <c:v>0.70182878346143629</c:v>
                </c:pt>
                <c:pt idx="537">
                  <c:v>0.69354624966869827</c:v>
                </c:pt>
                <c:pt idx="538">
                  <c:v>0.68526371587596091</c:v>
                </c:pt>
                <c:pt idx="539">
                  <c:v>0.67698118208322289</c:v>
                </c:pt>
                <c:pt idx="540">
                  <c:v>0.66869864829048486</c:v>
                </c:pt>
                <c:pt idx="541">
                  <c:v>0.66041611449774695</c:v>
                </c:pt>
                <c:pt idx="542">
                  <c:v>0.65213358070500893</c:v>
                </c:pt>
                <c:pt idx="543">
                  <c:v>0.64385104691227146</c:v>
                </c:pt>
                <c:pt idx="544">
                  <c:v>0.63556851311953355</c:v>
                </c:pt>
                <c:pt idx="545">
                  <c:v>0.62728597932679553</c:v>
                </c:pt>
                <c:pt idx="546">
                  <c:v>0.61900344553405751</c:v>
                </c:pt>
                <c:pt idx="547">
                  <c:v>0.61072091174131959</c:v>
                </c:pt>
                <c:pt idx="548">
                  <c:v>0.60243837794858213</c:v>
                </c:pt>
                <c:pt idx="549">
                  <c:v>0.5941558441558441</c:v>
                </c:pt>
                <c:pt idx="550">
                  <c:v>0.58587331036310619</c:v>
                </c:pt>
                <c:pt idx="551">
                  <c:v>0.57759077657036817</c:v>
                </c:pt>
                <c:pt idx="552">
                  <c:v>0.56930824277763015</c:v>
                </c:pt>
                <c:pt idx="553">
                  <c:v>0.56102570898489279</c:v>
                </c:pt>
                <c:pt idx="554">
                  <c:v>0.55274317519215477</c:v>
                </c:pt>
                <c:pt idx="555">
                  <c:v>0.54446064139941674</c:v>
                </c:pt>
                <c:pt idx="556">
                  <c:v>0.53617810760667883</c:v>
                </c:pt>
                <c:pt idx="557">
                  <c:v>0.52789557381394081</c:v>
                </c:pt>
                <c:pt idx="558">
                  <c:v>0.51961304002120345</c:v>
                </c:pt>
                <c:pt idx="559">
                  <c:v>0.51133050622846543</c:v>
                </c:pt>
                <c:pt idx="560">
                  <c:v>0.50304797243572741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6A-4C28-A837-272E017079EA}"/>
            </c:ext>
          </c:extLst>
        </c:ser>
        <c:ser>
          <c:idx val="2"/>
          <c:order val="2"/>
          <c:tx>
            <c:strRef>
              <c:f>Лист1!$J$1</c:f>
              <c:strCache>
                <c:ptCount val="1"/>
                <c:pt idx="0">
                  <c:v>Линия_0.5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Лист1!$A$2:$A$1000</c:f>
              <c:numCache>
                <c:formatCode>General</c:formatCode>
                <c:ptCount val="9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</c:numCache>
            </c:numRef>
          </c:xVal>
          <c:yVal>
            <c:numRef>
              <c:f>Лист1!$J$2:$J$1000</c:f>
              <c:numCache>
                <c:formatCode>General</c:formatCode>
                <c:ptCount val="99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0.5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0.5</c:v>
                </c:pt>
                <c:pt idx="451">
                  <c:v>0.5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0.5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0.5</c:v>
                </c:pt>
                <c:pt idx="464">
                  <c:v>0.5</c:v>
                </c:pt>
                <c:pt idx="465">
                  <c:v>0.5</c:v>
                </c:pt>
                <c:pt idx="466">
                  <c:v>0.5</c:v>
                </c:pt>
                <c:pt idx="467">
                  <c:v>0.5</c:v>
                </c:pt>
                <c:pt idx="468">
                  <c:v>0.5</c:v>
                </c:pt>
                <c:pt idx="469">
                  <c:v>0.5</c:v>
                </c:pt>
                <c:pt idx="470">
                  <c:v>0.5</c:v>
                </c:pt>
                <c:pt idx="471">
                  <c:v>0.5</c:v>
                </c:pt>
                <c:pt idx="472">
                  <c:v>0.5</c:v>
                </c:pt>
                <c:pt idx="473">
                  <c:v>0.5</c:v>
                </c:pt>
                <c:pt idx="474">
                  <c:v>0.5</c:v>
                </c:pt>
                <c:pt idx="475">
                  <c:v>0.5</c:v>
                </c:pt>
                <c:pt idx="476">
                  <c:v>0.5</c:v>
                </c:pt>
                <c:pt idx="477">
                  <c:v>0.5</c:v>
                </c:pt>
                <c:pt idx="478">
                  <c:v>0.5</c:v>
                </c:pt>
                <c:pt idx="479">
                  <c:v>0.5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0.5</c:v>
                </c:pt>
                <c:pt idx="522">
                  <c:v>0.5</c:v>
                </c:pt>
                <c:pt idx="523">
                  <c:v>0.5</c:v>
                </c:pt>
                <c:pt idx="524">
                  <c:v>0.5</c:v>
                </c:pt>
                <c:pt idx="525">
                  <c:v>0.5</c:v>
                </c:pt>
                <c:pt idx="526">
                  <c:v>0.5</c:v>
                </c:pt>
                <c:pt idx="527">
                  <c:v>0.5</c:v>
                </c:pt>
                <c:pt idx="528">
                  <c:v>0.5</c:v>
                </c:pt>
                <c:pt idx="529">
                  <c:v>0.5</c:v>
                </c:pt>
                <c:pt idx="530">
                  <c:v>0.5</c:v>
                </c:pt>
                <c:pt idx="531">
                  <c:v>0.5</c:v>
                </c:pt>
                <c:pt idx="532">
                  <c:v>0.5</c:v>
                </c:pt>
                <c:pt idx="533">
                  <c:v>0.5</c:v>
                </c:pt>
                <c:pt idx="534">
                  <c:v>0.5</c:v>
                </c:pt>
                <c:pt idx="535">
                  <c:v>0.5</c:v>
                </c:pt>
                <c:pt idx="536">
                  <c:v>0.5</c:v>
                </c:pt>
                <c:pt idx="537">
                  <c:v>0.5</c:v>
                </c:pt>
                <c:pt idx="538">
                  <c:v>0.5</c:v>
                </c:pt>
                <c:pt idx="539">
                  <c:v>0.5</c:v>
                </c:pt>
                <c:pt idx="540">
                  <c:v>0.5</c:v>
                </c:pt>
                <c:pt idx="541">
                  <c:v>0.5</c:v>
                </c:pt>
                <c:pt idx="542">
                  <c:v>0.5</c:v>
                </c:pt>
                <c:pt idx="543">
                  <c:v>0.5</c:v>
                </c:pt>
                <c:pt idx="544">
                  <c:v>0.5</c:v>
                </c:pt>
                <c:pt idx="545">
                  <c:v>0.5</c:v>
                </c:pt>
                <c:pt idx="546">
                  <c:v>0.5</c:v>
                </c:pt>
                <c:pt idx="547">
                  <c:v>0.5</c:v>
                </c:pt>
                <c:pt idx="548">
                  <c:v>0.5</c:v>
                </c:pt>
                <c:pt idx="549">
                  <c:v>0.5</c:v>
                </c:pt>
                <c:pt idx="550">
                  <c:v>0.5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0.5</c:v>
                </c:pt>
                <c:pt idx="567">
                  <c:v>0.5</c:v>
                </c:pt>
                <c:pt idx="568">
                  <c:v>0.5</c:v>
                </c:pt>
                <c:pt idx="569">
                  <c:v>0.5</c:v>
                </c:pt>
                <c:pt idx="570">
                  <c:v>0.5</c:v>
                </c:pt>
                <c:pt idx="571">
                  <c:v>0.5</c:v>
                </c:pt>
                <c:pt idx="572">
                  <c:v>0.5</c:v>
                </c:pt>
                <c:pt idx="573">
                  <c:v>0.5</c:v>
                </c:pt>
                <c:pt idx="574">
                  <c:v>0.5</c:v>
                </c:pt>
                <c:pt idx="575">
                  <c:v>0.5</c:v>
                </c:pt>
                <c:pt idx="576">
                  <c:v>0.5</c:v>
                </c:pt>
                <c:pt idx="577">
                  <c:v>0.5</c:v>
                </c:pt>
                <c:pt idx="578">
                  <c:v>0.5</c:v>
                </c:pt>
                <c:pt idx="579">
                  <c:v>0.5</c:v>
                </c:pt>
                <c:pt idx="580">
                  <c:v>0.5</c:v>
                </c:pt>
                <c:pt idx="581">
                  <c:v>0.5</c:v>
                </c:pt>
                <c:pt idx="582">
                  <c:v>0.5</c:v>
                </c:pt>
                <c:pt idx="583">
                  <c:v>0.5</c:v>
                </c:pt>
                <c:pt idx="584">
                  <c:v>0.5</c:v>
                </c:pt>
                <c:pt idx="585">
                  <c:v>0.5</c:v>
                </c:pt>
                <c:pt idx="586">
                  <c:v>0.5</c:v>
                </c:pt>
                <c:pt idx="587">
                  <c:v>0.5</c:v>
                </c:pt>
                <c:pt idx="588">
                  <c:v>0.5</c:v>
                </c:pt>
                <c:pt idx="589">
                  <c:v>0.5</c:v>
                </c:pt>
                <c:pt idx="590">
                  <c:v>0.5</c:v>
                </c:pt>
                <c:pt idx="591">
                  <c:v>0.5</c:v>
                </c:pt>
                <c:pt idx="592">
                  <c:v>0.5</c:v>
                </c:pt>
                <c:pt idx="593">
                  <c:v>0.5</c:v>
                </c:pt>
                <c:pt idx="594">
                  <c:v>0.5</c:v>
                </c:pt>
                <c:pt idx="595">
                  <c:v>0.5</c:v>
                </c:pt>
                <c:pt idx="596">
                  <c:v>0.5</c:v>
                </c:pt>
                <c:pt idx="597">
                  <c:v>0.5</c:v>
                </c:pt>
                <c:pt idx="598">
                  <c:v>0.5</c:v>
                </c:pt>
                <c:pt idx="599">
                  <c:v>0.5</c:v>
                </c:pt>
                <c:pt idx="600">
                  <c:v>0.5</c:v>
                </c:pt>
                <c:pt idx="601">
                  <c:v>0.5</c:v>
                </c:pt>
                <c:pt idx="602">
                  <c:v>0.5</c:v>
                </c:pt>
                <c:pt idx="603">
                  <c:v>0.5</c:v>
                </c:pt>
                <c:pt idx="604">
                  <c:v>0.5</c:v>
                </c:pt>
                <c:pt idx="605">
                  <c:v>0.5</c:v>
                </c:pt>
                <c:pt idx="606">
                  <c:v>0.5</c:v>
                </c:pt>
                <c:pt idx="607">
                  <c:v>0.5</c:v>
                </c:pt>
                <c:pt idx="608">
                  <c:v>0.5</c:v>
                </c:pt>
                <c:pt idx="609">
                  <c:v>0.5</c:v>
                </c:pt>
                <c:pt idx="610">
                  <c:v>0.5</c:v>
                </c:pt>
                <c:pt idx="611">
                  <c:v>0.5</c:v>
                </c:pt>
                <c:pt idx="612">
                  <c:v>0.5</c:v>
                </c:pt>
                <c:pt idx="613">
                  <c:v>0.5</c:v>
                </c:pt>
                <c:pt idx="614">
                  <c:v>0.5</c:v>
                </c:pt>
                <c:pt idx="615">
                  <c:v>0.5</c:v>
                </c:pt>
                <c:pt idx="616">
                  <c:v>0.5</c:v>
                </c:pt>
                <c:pt idx="617">
                  <c:v>0.5</c:v>
                </c:pt>
                <c:pt idx="618">
                  <c:v>0.5</c:v>
                </c:pt>
                <c:pt idx="619">
                  <c:v>0.5</c:v>
                </c:pt>
                <c:pt idx="620">
                  <c:v>0.5</c:v>
                </c:pt>
                <c:pt idx="621">
                  <c:v>0.5</c:v>
                </c:pt>
                <c:pt idx="622">
                  <c:v>0.5</c:v>
                </c:pt>
                <c:pt idx="623">
                  <c:v>0.5</c:v>
                </c:pt>
                <c:pt idx="624">
                  <c:v>0.5</c:v>
                </c:pt>
                <c:pt idx="625">
                  <c:v>0.5</c:v>
                </c:pt>
                <c:pt idx="626">
                  <c:v>0.5</c:v>
                </c:pt>
                <c:pt idx="627">
                  <c:v>0.5</c:v>
                </c:pt>
                <c:pt idx="628">
                  <c:v>0.5</c:v>
                </c:pt>
                <c:pt idx="629">
                  <c:v>0.5</c:v>
                </c:pt>
                <c:pt idx="630">
                  <c:v>0.5</c:v>
                </c:pt>
                <c:pt idx="631">
                  <c:v>0.5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0.5</c:v>
                </c:pt>
                <c:pt idx="636">
                  <c:v>0.5</c:v>
                </c:pt>
                <c:pt idx="637">
                  <c:v>0.5</c:v>
                </c:pt>
                <c:pt idx="638">
                  <c:v>0.5</c:v>
                </c:pt>
                <c:pt idx="639">
                  <c:v>0.5</c:v>
                </c:pt>
                <c:pt idx="640">
                  <c:v>0.5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0.5</c:v>
                </c:pt>
                <c:pt idx="673">
                  <c:v>0.5</c:v>
                </c:pt>
                <c:pt idx="674">
                  <c:v>0.5</c:v>
                </c:pt>
                <c:pt idx="675">
                  <c:v>0.5</c:v>
                </c:pt>
                <c:pt idx="676">
                  <c:v>0.5</c:v>
                </c:pt>
                <c:pt idx="677">
                  <c:v>0.5</c:v>
                </c:pt>
                <c:pt idx="678">
                  <c:v>0.5</c:v>
                </c:pt>
                <c:pt idx="679">
                  <c:v>0.5</c:v>
                </c:pt>
                <c:pt idx="680">
                  <c:v>0.5</c:v>
                </c:pt>
                <c:pt idx="681">
                  <c:v>0.5</c:v>
                </c:pt>
                <c:pt idx="682">
                  <c:v>0.5</c:v>
                </c:pt>
                <c:pt idx="683">
                  <c:v>0.5</c:v>
                </c:pt>
                <c:pt idx="684">
                  <c:v>0.5</c:v>
                </c:pt>
                <c:pt idx="685">
                  <c:v>0.5</c:v>
                </c:pt>
                <c:pt idx="686">
                  <c:v>0.5</c:v>
                </c:pt>
                <c:pt idx="687">
                  <c:v>0.5</c:v>
                </c:pt>
                <c:pt idx="688">
                  <c:v>0.5</c:v>
                </c:pt>
                <c:pt idx="689">
                  <c:v>0.5</c:v>
                </c:pt>
                <c:pt idx="690">
                  <c:v>0.5</c:v>
                </c:pt>
                <c:pt idx="691">
                  <c:v>0.5</c:v>
                </c:pt>
                <c:pt idx="692">
                  <c:v>0.5</c:v>
                </c:pt>
                <c:pt idx="693">
                  <c:v>0.5</c:v>
                </c:pt>
                <c:pt idx="694">
                  <c:v>0.5</c:v>
                </c:pt>
                <c:pt idx="695">
                  <c:v>0.5</c:v>
                </c:pt>
                <c:pt idx="696">
                  <c:v>0.5</c:v>
                </c:pt>
                <c:pt idx="697">
                  <c:v>0.5</c:v>
                </c:pt>
                <c:pt idx="698">
                  <c:v>0.5</c:v>
                </c:pt>
                <c:pt idx="699">
                  <c:v>0.5</c:v>
                </c:pt>
                <c:pt idx="700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6A-4C28-A837-272E017079EA}"/>
            </c:ext>
          </c:extLst>
        </c:ser>
        <c:ser>
          <c:idx val="3"/>
          <c:order val="3"/>
          <c:tx>
            <c:v>Методы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E86A-4C28-A837-272E017079EA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5">
                    <a:lumMod val="75000"/>
                  </a:schemeClr>
                </a:solidFill>
                <a:ln w="9525">
                  <a:solidFill>
                    <a:schemeClr val="accent5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E86A-4C28-A837-272E017079EA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86A-4C28-A837-272E017079EA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86A-4C28-A837-272E017079EA}"/>
              </c:ext>
            </c:extLst>
          </c:dPt>
          <c:dLbls>
            <c:dLbl>
              <c:idx val="0"/>
              <c:layout>
                <c:manualLayout>
                  <c:x val="-0.13297880074557028"/>
                  <c:y val="-5.2813570176551188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Левый максимум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86A-4C28-A837-272E017079EA}"/>
                </c:ext>
              </c:extLst>
            </c:dLbl>
            <c:dLbl>
              <c:idx val="1"/>
              <c:layout>
                <c:manualLayout>
                  <c:x val="-5.551377451922121E-2"/>
                  <c:y val="6.0289755999944496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Средний максимум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E86A-4C28-A837-272E017079EA}"/>
                </c:ext>
              </c:extLst>
            </c:dLbl>
            <c:dLbl>
              <c:idx val="2"/>
              <c:layout>
                <c:manualLayout>
                  <c:x val="2.3573632798904846E-2"/>
                  <c:y val="-4.694539571248995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Правый максимум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E86A-4C28-A837-272E017079EA}"/>
                </c:ext>
              </c:extLst>
            </c:dLbl>
            <c:dLbl>
              <c:idx val="3"/>
              <c:layout>
                <c:manualLayout>
                  <c:x val="3.9289387998174023E-3"/>
                  <c:y val="3.520904678436735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Центр тяжести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86A-4C28-A837-272E017079E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COS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86A-4C28-A837-272E017079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Лист1!$M$2:$M$5</c:f>
              <c:numCache>
                <c:formatCode>General</c:formatCode>
                <c:ptCount val="4"/>
                <c:pt idx="0">
                  <c:v>35</c:v>
                </c:pt>
                <c:pt idx="1">
                  <c:v>42.5</c:v>
                </c:pt>
                <c:pt idx="2">
                  <c:v>50</c:v>
                </c:pt>
                <c:pt idx="3">
                  <c:v>43.6</c:v>
                </c:pt>
              </c:numCache>
            </c:numRef>
          </c:xVal>
          <c:yVal>
            <c:numRef>
              <c:f>Лист1!$N$2:$N$5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86A-4C28-A837-272E017079EA}"/>
            </c:ext>
          </c:extLst>
        </c:ser>
        <c:ser>
          <c:idx val="4"/>
          <c:order val="4"/>
          <c:tx>
            <c:v>Границы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E86A-4C28-A837-272E017079E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6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86A-4C28-A837-272E017079EA}"/>
              </c:ext>
            </c:extLst>
          </c:dPt>
          <c:xVal>
            <c:numRef>
              <c:f>Лист1!$O$2:$O$6</c:f>
              <c:numCache>
                <c:formatCode>General</c:formatCode>
                <c:ptCount val="5"/>
                <c:pt idx="0">
                  <c:v>31.8</c:v>
                </c:pt>
                <c:pt idx="1">
                  <c:v>31.8</c:v>
                </c:pt>
                <c:pt idx="2">
                  <c:v>#N/A</c:v>
                </c:pt>
                <c:pt idx="3">
                  <c:v>56</c:v>
                </c:pt>
                <c:pt idx="4">
                  <c:v>56</c:v>
                </c:pt>
              </c:numCache>
            </c:numRef>
          </c:xVal>
          <c:yVal>
            <c:numRef>
              <c:f>Лист1!$P$2:$P$6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86A-4C28-A837-272E01707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070031"/>
        <c:axId val="241072111"/>
      </c:scatterChart>
      <c:valAx>
        <c:axId val="241070031"/>
        <c:scaling>
          <c:orientation val="minMax"/>
          <c:max val="6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x</a:t>
                </a:r>
                <a:endParaRPr lang="ru-RU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072111"/>
        <c:crosses val="autoZero"/>
        <c:crossBetween val="midCat"/>
      </c:valAx>
      <c:valAx>
        <c:axId val="24107211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070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Метод центра тяжести среза (</a:t>
            </a:r>
            <a:r>
              <a:rPr lang="en-US"/>
              <a:t>k=0.4)</a:t>
            </a:r>
            <a:endParaRPr lang="ru-RU"/>
          </a:p>
        </c:rich>
      </c:tx>
      <c:layout>
        <c:manualLayout>
          <c:xMode val="edge"/>
          <c:yMode val="edge"/>
          <c:x val="0.2694252766885542"/>
          <c:y val="6.4549919104673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2563188990962835E-2"/>
          <c:y val="0.16742001473830739"/>
          <c:w val="0.87301202222911412"/>
          <c:h val="0.67977083319639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μ(x)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Лист1!$A$2:$A$1000</c:f>
              <c:numCache>
                <c:formatCode>General</c:formatCode>
                <c:ptCount val="9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</c:numCache>
            </c:numRef>
          </c:xVal>
          <c:yVal>
            <c:numRef>
              <c:f>Лист1!$B$2:$B$1000</c:f>
              <c:numCache>
                <c:formatCode>General</c:formatCode>
                <c:ptCount val="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1.3387571719134286E-2</c:v>
                </c:pt>
                <c:pt idx="286">
                  <c:v>2.8566224461917054E-2</c:v>
                </c:pt>
                <c:pt idx="287">
                  <c:v>4.374487720469928E-2</c:v>
                </c:pt>
                <c:pt idx="288">
                  <c:v>5.8923529947482046E-2</c:v>
                </c:pt>
                <c:pt idx="289">
                  <c:v>7.4102182690264279E-2</c:v>
                </c:pt>
                <c:pt idx="290">
                  <c:v>8.9280835433047046E-2</c:v>
                </c:pt>
                <c:pt idx="291">
                  <c:v>0.10445948817582981</c:v>
                </c:pt>
                <c:pt idx="292">
                  <c:v>0.11963814091861204</c:v>
                </c:pt>
                <c:pt idx="293">
                  <c:v>0.13481679366139482</c:v>
                </c:pt>
                <c:pt idx="294">
                  <c:v>0.14999544640417703</c:v>
                </c:pt>
                <c:pt idx="295">
                  <c:v>0.1651740991469598</c:v>
                </c:pt>
                <c:pt idx="296">
                  <c:v>0.18035275188974256</c:v>
                </c:pt>
                <c:pt idx="297">
                  <c:v>0.1955314046325248</c:v>
                </c:pt>
                <c:pt idx="298">
                  <c:v>0.21071005737530757</c:v>
                </c:pt>
                <c:pt idx="299">
                  <c:v>0.22588871011808978</c:v>
                </c:pt>
                <c:pt idx="300">
                  <c:v>0.24106736286087255</c:v>
                </c:pt>
                <c:pt idx="301">
                  <c:v>0.25624601560365534</c:v>
                </c:pt>
                <c:pt idx="302">
                  <c:v>0.27142466834643758</c:v>
                </c:pt>
                <c:pt idx="303">
                  <c:v>0.28660332108922032</c:v>
                </c:pt>
                <c:pt idx="304">
                  <c:v>0.30178197383200256</c:v>
                </c:pt>
                <c:pt idx="305">
                  <c:v>0.3169606265747853</c:v>
                </c:pt>
                <c:pt idx="306">
                  <c:v>0.33213927931756809</c:v>
                </c:pt>
                <c:pt idx="307">
                  <c:v>0.34731793206035033</c:v>
                </c:pt>
                <c:pt idx="308">
                  <c:v>0.36249658480313307</c:v>
                </c:pt>
                <c:pt idx="309">
                  <c:v>0.37767523754591531</c:v>
                </c:pt>
                <c:pt idx="310">
                  <c:v>0.39285389028869805</c:v>
                </c:pt>
                <c:pt idx="311">
                  <c:v>0.40803254303148084</c:v>
                </c:pt>
                <c:pt idx="312">
                  <c:v>0.42321119577426308</c:v>
                </c:pt>
                <c:pt idx="313">
                  <c:v>0.43838984851704582</c:v>
                </c:pt>
                <c:pt idx="314">
                  <c:v>0.45356850125982806</c:v>
                </c:pt>
                <c:pt idx="315">
                  <c:v>0.46874715400261086</c:v>
                </c:pt>
                <c:pt idx="316">
                  <c:v>0.48392580674539359</c:v>
                </c:pt>
                <c:pt idx="317">
                  <c:v>0.49910445948817583</c:v>
                </c:pt>
                <c:pt idx="318">
                  <c:v>0.51428311223095857</c:v>
                </c:pt>
                <c:pt idx="319">
                  <c:v>0.52946176497374087</c:v>
                </c:pt>
                <c:pt idx="320">
                  <c:v>0.54464041771652361</c:v>
                </c:pt>
                <c:pt idx="321">
                  <c:v>0.55981907045930634</c:v>
                </c:pt>
                <c:pt idx="322">
                  <c:v>0.57499772320208908</c:v>
                </c:pt>
                <c:pt idx="323">
                  <c:v>0.59017637594487082</c:v>
                </c:pt>
                <c:pt idx="324">
                  <c:v>0.60535502868765356</c:v>
                </c:pt>
                <c:pt idx="325">
                  <c:v>0.6205336814304363</c:v>
                </c:pt>
                <c:pt idx="326">
                  <c:v>0.63571233417321915</c:v>
                </c:pt>
                <c:pt idx="327">
                  <c:v>0.65089098691600189</c:v>
                </c:pt>
                <c:pt idx="328">
                  <c:v>0.66606963965878352</c:v>
                </c:pt>
                <c:pt idx="329">
                  <c:v>0.68124829240156637</c:v>
                </c:pt>
                <c:pt idx="330">
                  <c:v>0.69642694514434911</c:v>
                </c:pt>
                <c:pt idx="331">
                  <c:v>0.71160559788713185</c:v>
                </c:pt>
                <c:pt idx="332">
                  <c:v>0.72678425062991459</c:v>
                </c:pt>
                <c:pt idx="333">
                  <c:v>0.74196290337269633</c:v>
                </c:pt>
                <c:pt idx="334">
                  <c:v>0.75714155611547906</c:v>
                </c:pt>
                <c:pt idx="335">
                  <c:v>0.77232020885826191</c:v>
                </c:pt>
                <c:pt idx="336">
                  <c:v>0.78749886160104465</c:v>
                </c:pt>
                <c:pt idx="337">
                  <c:v>0.80267751434382739</c:v>
                </c:pt>
                <c:pt idx="338">
                  <c:v>0.81785616708660913</c:v>
                </c:pt>
                <c:pt idx="339">
                  <c:v>0.83303481982939187</c:v>
                </c:pt>
                <c:pt idx="340">
                  <c:v>0.84821347257217461</c:v>
                </c:pt>
                <c:pt idx="341">
                  <c:v>0.86339212531495735</c:v>
                </c:pt>
                <c:pt idx="342">
                  <c:v>0.8785707780577402</c:v>
                </c:pt>
                <c:pt idx="343">
                  <c:v>0.89374943080052183</c:v>
                </c:pt>
                <c:pt idx="344">
                  <c:v>0.90892808354330457</c:v>
                </c:pt>
                <c:pt idx="345">
                  <c:v>0.92410673628608742</c:v>
                </c:pt>
                <c:pt idx="346">
                  <c:v>0.93928538902887015</c:v>
                </c:pt>
                <c:pt idx="347">
                  <c:v>0.95446404177165289</c:v>
                </c:pt>
                <c:pt idx="348">
                  <c:v>0.96964269451443463</c:v>
                </c:pt>
                <c:pt idx="349">
                  <c:v>0.98482134725721737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0.99171746620726187</c:v>
                </c:pt>
                <c:pt idx="502">
                  <c:v>0.98343493241452384</c:v>
                </c:pt>
                <c:pt idx="503">
                  <c:v>0.97515239862178649</c:v>
                </c:pt>
                <c:pt idx="504">
                  <c:v>0.96686986482904846</c:v>
                </c:pt>
                <c:pt idx="505">
                  <c:v>0.95858733103631044</c:v>
                </c:pt>
                <c:pt idx="506">
                  <c:v>0.95030479724357253</c:v>
                </c:pt>
                <c:pt idx="507">
                  <c:v>0.94202226345083451</c:v>
                </c:pt>
                <c:pt idx="508">
                  <c:v>0.93373972965809715</c:v>
                </c:pt>
                <c:pt idx="509">
                  <c:v>0.92545719586535913</c:v>
                </c:pt>
                <c:pt idx="510">
                  <c:v>0.91717466207262111</c:v>
                </c:pt>
                <c:pt idx="511">
                  <c:v>0.90889212827988308</c:v>
                </c:pt>
                <c:pt idx="512">
                  <c:v>0.90060959448714517</c:v>
                </c:pt>
                <c:pt idx="513">
                  <c:v>0.8923270606944077</c:v>
                </c:pt>
                <c:pt idx="514">
                  <c:v>0.88404452690166979</c:v>
                </c:pt>
                <c:pt idx="515">
                  <c:v>0.87576199310893177</c:v>
                </c:pt>
                <c:pt idx="516">
                  <c:v>0.86747945931619375</c:v>
                </c:pt>
                <c:pt idx="517">
                  <c:v>0.85919692552345572</c:v>
                </c:pt>
                <c:pt idx="518">
                  <c:v>0.85091439173071837</c:v>
                </c:pt>
                <c:pt idx="519">
                  <c:v>0.84263185793798034</c:v>
                </c:pt>
                <c:pt idx="520">
                  <c:v>0.83434932414524232</c:v>
                </c:pt>
                <c:pt idx="521">
                  <c:v>0.82606679035250441</c:v>
                </c:pt>
                <c:pt idx="522">
                  <c:v>0.81778425655976639</c:v>
                </c:pt>
                <c:pt idx="523">
                  <c:v>0.80950172276702903</c:v>
                </c:pt>
                <c:pt idx="524">
                  <c:v>0.80121918897429101</c:v>
                </c:pt>
                <c:pt idx="525">
                  <c:v>0.79293665518155299</c:v>
                </c:pt>
                <c:pt idx="526">
                  <c:v>0.78465412138881496</c:v>
                </c:pt>
                <c:pt idx="527">
                  <c:v>0.77637158759607705</c:v>
                </c:pt>
                <c:pt idx="528">
                  <c:v>0.76808905380333958</c:v>
                </c:pt>
                <c:pt idx="529">
                  <c:v>0.75980652001060167</c:v>
                </c:pt>
                <c:pt idx="530">
                  <c:v>0.75152398621786365</c:v>
                </c:pt>
                <c:pt idx="531">
                  <c:v>0.74324145242512563</c:v>
                </c:pt>
                <c:pt idx="532">
                  <c:v>0.7349589186323876</c:v>
                </c:pt>
                <c:pt idx="533">
                  <c:v>0.72667638483965025</c:v>
                </c:pt>
                <c:pt idx="534">
                  <c:v>0.71839385104691222</c:v>
                </c:pt>
                <c:pt idx="535">
                  <c:v>0.71011131725417431</c:v>
                </c:pt>
                <c:pt idx="536">
                  <c:v>0.70182878346143629</c:v>
                </c:pt>
                <c:pt idx="537">
                  <c:v>0.69354624966869827</c:v>
                </c:pt>
                <c:pt idx="538">
                  <c:v>0.68526371587596091</c:v>
                </c:pt>
                <c:pt idx="539">
                  <c:v>0.67698118208322289</c:v>
                </c:pt>
                <c:pt idx="540">
                  <c:v>0.66869864829048486</c:v>
                </c:pt>
                <c:pt idx="541">
                  <c:v>0.66041611449774695</c:v>
                </c:pt>
                <c:pt idx="542">
                  <c:v>0.65213358070500893</c:v>
                </c:pt>
                <c:pt idx="543">
                  <c:v>0.64385104691227146</c:v>
                </c:pt>
                <c:pt idx="544">
                  <c:v>0.63556851311953355</c:v>
                </c:pt>
                <c:pt idx="545">
                  <c:v>0.62728597932679553</c:v>
                </c:pt>
                <c:pt idx="546">
                  <c:v>0.61900344553405751</c:v>
                </c:pt>
                <c:pt idx="547">
                  <c:v>0.61072091174131959</c:v>
                </c:pt>
                <c:pt idx="548">
                  <c:v>0.60243837794858213</c:v>
                </c:pt>
                <c:pt idx="549">
                  <c:v>0.5941558441558441</c:v>
                </c:pt>
                <c:pt idx="550">
                  <c:v>0.58587331036310619</c:v>
                </c:pt>
                <c:pt idx="551">
                  <c:v>0.57759077657036817</c:v>
                </c:pt>
                <c:pt idx="552">
                  <c:v>0.56930824277763015</c:v>
                </c:pt>
                <c:pt idx="553">
                  <c:v>0.56102570898489279</c:v>
                </c:pt>
                <c:pt idx="554">
                  <c:v>0.55274317519215477</c:v>
                </c:pt>
                <c:pt idx="555">
                  <c:v>0.54446064139941674</c:v>
                </c:pt>
                <c:pt idx="556">
                  <c:v>0.53617810760667883</c:v>
                </c:pt>
                <c:pt idx="557">
                  <c:v>0.52789557381394081</c:v>
                </c:pt>
                <c:pt idx="558">
                  <c:v>0.51961304002120345</c:v>
                </c:pt>
                <c:pt idx="559">
                  <c:v>0.51133050622846543</c:v>
                </c:pt>
                <c:pt idx="560">
                  <c:v>0.50304797243572741</c:v>
                </c:pt>
                <c:pt idx="561">
                  <c:v>0.49476543864298944</c:v>
                </c:pt>
                <c:pt idx="562">
                  <c:v>0.48648290485025142</c:v>
                </c:pt>
                <c:pt idx="563">
                  <c:v>0.47820037105751406</c:v>
                </c:pt>
                <c:pt idx="564">
                  <c:v>0.46991783726477604</c:v>
                </c:pt>
                <c:pt idx="565">
                  <c:v>0.46163530347203807</c:v>
                </c:pt>
                <c:pt idx="566">
                  <c:v>0.45335276967930005</c:v>
                </c:pt>
                <c:pt idx="567">
                  <c:v>0.44507023588656208</c:v>
                </c:pt>
                <c:pt idx="568">
                  <c:v>0.43678770209382467</c:v>
                </c:pt>
                <c:pt idx="569">
                  <c:v>0.4285051683010867</c:v>
                </c:pt>
                <c:pt idx="570">
                  <c:v>0.42022263450834868</c:v>
                </c:pt>
                <c:pt idx="571">
                  <c:v>0.41194010071561071</c:v>
                </c:pt>
                <c:pt idx="572">
                  <c:v>0.40365756692287269</c:v>
                </c:pt>
                <c:pt idx="573">
                  <c:v>0.39537503313013528</c:v>
                </c:pt>
                <c:pt idx="574">
                  <c:v>0.38709249933739731</c:v>
                </c:pt>
                <c:pt idx="575">
                  <c:v>0.37880996554465929</c:v>
                </c:pt>
                <c:pt idx="576">
                  <c:v>0.37052743175192132</c:v>
                </c:pt>
                <c:pt idx="577">
                  <c:v>0.36224489795918335</c:v>
                </c:pt>
                <c:pt idx="578">
                  <c:v>0.35396236416644594</c:v>
                </c:pt>
                <c:pt idx="579">
                  <c:v>0.34567983037370792</c:v>
                </c:pt>
                <c:pt idx="580">
                  <c:v>0.33739729658096995</c:v>
                </c:pt>
                <c:pt idx="581">
                  <c:v>0.32911476278823193</c:v>
                </c:pt>
                <c:pt idx="582">
                  <c:v>0.32083222899549396</c:v>
                </c:pt>
                <c:pt idx="583">
                  <c:v>0.31254969520275655</c:v>
                </c:pt>
                <c:pt idx="584">
                  <c:v>0.30426716141001858</c:v>
                </c:pt>
                <c:pt idx="585">
                  <c:v>0.29598462761728056</c:v>
                </c:pt>
                <c:pt idx="586">
                  <c:v>0.28770209382454259</c:v>
                </c:pt>
                <c:pt idx="587">
                  <c:v>0.27941956003180457</c:v>
                </c:pt>
                <c:pt idx="588">
                  <c:v>0.27113702623906721</c:v>
                </c:pt>
                <c:pt idx="589">
                  <c:v>0.26285449244632919</c:v>
                </c:pt>
                <c:pt idx="590">
                  <c:v>0.25457195865359122</c:v>
                </c:pt>
                <c:pt idx="591">
                  <c:v>0.24628942486085323</c:v>
                </c:pt>
                <c:pt idx="592">
                  <c:v>0.23800689106811523</c:v>
                </c:pt>
                <c:pt idx="593">
                  <c:v>0.22972435727537782</c:v>
                </c:pt>
                <c:pt idx="594">
                  <c:v>0.22144182348263983</c:v>
                </c:pt>
                <c:pt idx="595">
                  <c:v>0.21315928968990183</c:v>
                </c:pt>
                <c:pt idx="596">
                  <c:v>0.20487675589716384</c:v>
                </c:pt>
                <c:pt idx="597">
                  <c:v>0.19659422210442584</c:v>
                </c:pt>
                <c:pt idx="598">
                  <c:v>0.18831168831168846</c:v>
                </c:pt>
                <c:pt idx="599">
                  <c:v>0.18002915451895046</c:v>
                </c:pt>
                <c:pt idx="600">
                  <c:v>0.17174662072621247</c:v>
                </c:pt>
                <c:pt idx="601">
                  <c:v>0.16346408693347447</c:v>
                </c:pt>
                <c:pt idx="602">
                  <c:v>0.15518155314073648</c:v>
                </c:pt>
                <c:pt idx="603">
                  <c:v>0.14689901934799909</c:v>
                </c:pt>
                <c:pt idx="604">
                  <c:v>0.1386164855552611</c:v>
                </c:pt>
                <c:pt idx="605">
                  <c:v>0.1303339517625231</c:v>
                </c:pt>
                <c:pt idx="606">
                  <c:v>0.12205141796978511</c:v>
                </c:pt>
                <c:pt idx="607">
                  <c:v>0.11376888417704711</c:v>
                </c:pt>
                <c:pt idx="608">
                  <c:v>0.10548635038430972</c:v>
                </c:pt>
                <c:pt idx="609">
                  <c:v>9.7203816591571721E-2</c:v>
                </c:pt>
                <c:pt idx="610">
                  <c:v>8.8921282798833726E-2</c:v>
                </c:pt>
                <c:pt idx="611">
                  <c:v>8.0638749006095745E-2</c:v>
                </c:pt>
                <c:pt idx="612">
                  <c:v>7.235621521335775E-2</c:v>
                </c:pt>
                <c:pt idx="613">
                  <c:v>6.4073681420620351E-2</c:v>
                </c:pt>
                <c:pt idx="614">
                  <c:v>5.579114762788235E-2</c:v>
                </c:pt>
                <c:pt idx="615">
                  <c:v>4.7508613835144362E-2</c:v>
                </c:pt>
                <c:pt idx="616">
                  <c:v>3.9226080042406367E-2</c:v>
                </c:pt>
                <c:pt idx="617">
                  <c:v>3.0943546249668379E-2</c:v>
                </c:pt>
                <c:pt idx="618">
                  <c:v>2.2661012456930977E-2</c:v>
                </c:pt>
                <c:pt idx="619">
                  <c:v>1.4378478664192984E-2</c:v>
                </c:pt>
                <c:pt idx="620">
                  <c:v>6.0959448714549922E-3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44-48CD-80E4-96B3A0EABAFE}"/>
            </c:ext>
          </c:extLst>
        </c:ser>
        <c:ser>
          <c:idx val="1"/>
          <c:order val="1"/>
          <c:tx>
            <c:strRef>
              <c:f>Лист1!$K$1</c:f>
              <c:strCache>
                <c:ptCount val="1"/>
                <c:pt idx="0">
                  <c:v>Ус_0.4_заливка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Лист1!$A$2:$A$1000</c:f>
              <c:numCache>
                <c:formatCode>General</c:formatCode>
                <c:ptCount val="9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</c:numCache>
            </c:numRef>
          </c:xVal>
          <c:yVal>
            <c:numRef>
              <c:f>Лист1!$K$2:$K$702</c:f>
              <c:numCache>
                <c:formatCode>General</c:formatCode>
                <c:ptCount val="7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0.40803254303148084</c:v>
                </c:pt>
                <c:pt idx="312">
                  <c:v>0.42321119577426308</c:v>
                </c:pt>
                <c:pt idx="313">
                  <c:v>0.43838984851704582</c:v>
                </c:pt>
                <c:pt idx="314">
                  <c:v>0.45356850125982806</c:v>
                </c:pt>
                <c:pt idx="315">
                  <c:v>0.46874715400261086</c:v>
                </c:pt>
                <c:pt idx="316">
                  <c:v>0.48392580674539359</c:v>
                </c:pt>
                <c:pt idx="317">
                  <c:v>0.49910445948817583</c:v>
                </c:pt>
                <c:pt idx="318">
                  <c:v>0.51428311223095857</c:v>
                </c:pt>
                <c:pt idx="319">
                  <c:v>0.52946176497374087</c:v>
                </c:pt>
                <c:pt idx="320">
                  <c:v>0.54464041771652361</c:v>
                </c:pt>
                <c:pt idx="321">
                  <c:v>0.55981907045930634</c:v>
                </c:pt>
                <c:pt idx="322">
                  <c:v>0.57499772320208908</c:v>
                </c:pt>
                <c:pt idx="323">
                  <c:v>0.59017637594487082</c:v>
                </c:pt>
                <c:pt idx="324">
                  <c:v>0.60535502868765356</c:v>
                </c:pt>
                <c:pt idx="325">
                  <c:v>0.6205336814304363</c:v>
                </c:pt>
                <c:pt idx="326">
                  <c:v>0.63571233417321915</c:v>
                </c:pt>
                <c:pt idx="327">
                  <c:v>0.65089098691600189</c:v>
                </c:pt>
                <c:pt idx="328">
                  <c:v>0.66606963965878352</c:v>
                </c:pt>
                <c:pt idx="329">
                  <c:v>0.68124829240156637</c:v>
                </c:pt>
                <c:pt idx="330">
                  <c:v>0.69642694514434911</c:v>
                </c:pt>
                <c:pt idx="331">
                  <c:v>0.71160559788713185</c:v>
                </c:pt>
                <c:pt idx="332">
                  <c:v>0.72678425062991459</c:v>
                </c:pt>
                <c:pt idx="333">
                  <c:v>0.74196290337269633</c:v>
                </c:pt>
                <c:pt idx="334">
                  <c:v>0.75714155611547906</c:v>
                </c:pt>
                <c:pt idx="335">
                  <c:v>0.77232020885826191</c:v>
                </c:pt>
                <c:pt idx="336">
                  <c:v>0.78749886160104465</c:v>
                </c:pt>
                <c:pt idx="337">
                  <c:v>0.80267751434382739</c:v>
                </c:pt>
                <c:pt idx="338">
                  <c:v>0.81785616708660913</c:v>
                </c:pt>
                <c:pt idx="339">
                  <c:v>0.83303481982939187</c:v>
                </c:pt>
                <c:pt idx="340">
                  <c:v>0.84821347257217461</c:v>
                </c:pt>
                <c:pt idx="341">
                  <c:v>0.86339212531495735</c:v>
                </c:pt>
                <c:pt idx="342">
                  <c:v>0.8785707780577402</c:v>
                </c:pt>
                <c:pt idx="343">
                  <c:v>0.89374943080052183</c:v>
                </c:pt>
                <c:pt idx="344">
                  <c:v>0.90892808354330457</c:v>
                </c:pt>
                <c:pt idx="345">
                  <c:v>0.92410673628608742</c:v>
                </c:pt>
                <c:pt idx="346">
                  <c:v>0.93928538902887015</c:v>
                </c:pt>
                <c:pt idx="347">
                  <c:v>0.95446404177165289</c:v>
                </c:pt>
                <c:pt idx="348">
                  <c:v>0.96964269451443463</c:v>
                </c:pt>
                <c:pt idx="349">
                  <c:v>0.98482134725721737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0.99171746620726187</c:v>
                </c:pt>
                <c:pt idx="502">
                  <c:v>0.98343493241452384</c:v>
                </c:pt>
                <c:pt idx="503">
                  <c:v>0.97515239862178649</c:v>
                </c:pt>
                <c:pt idx="504">
                  <c:v>0.96686986482904846</c:v>
                </c:pt>
                <c:pt idx="505">
                  <c:v>0.95858733103631044</c:v>
                </c:pt>
                <c:pt idx="506">
                  <c:v>0.95030479724357253</c:v>
                </c:pt>
                <c:pt idx="507">
                  <c:v>0.94202226345083451</c:v>
                </c:pt>
                <c:pt idx="508">
                  <c:v>0.93373972965809715</c:v>
                </c:pt>
                <c:pt idx="509">
                  <c:v>0.92545719586535913</c:v>
                </c:pt>
                <c:pt idx="510">
                  <c:v>0.91717466207262111</c:v>
                </c:pt>
                <c:pt idx="511">
                  <c:v>0.90889212827988308</c:v>
                </c:pt>
                <c:pt idx="512">
                  <c:v>0.90060959448714517</c:v>
                </c:pt>
                <c:pt idx="513">
                  <c:v>0.8923270606944077</c:v>
                </c:pt>
                <c:pt idx="514">
                  <c:v>0.88404452690166979</c:v>
                </c:pt>
                <c:pt idx="515">
                  <c:v>0.87576199310893177</c:v>
                </c:pt>
                <c:pt idx="516">
                  <c:v>0.86747945931619375</c:v>
                </c:pt>
                <c:pt idx="517">
                  <c:v>0.85919692552345572</c:v>
                </c:pt>
                <c:pt idx="518">
                  <c:v>0.85091439173071837</c:v>
                </c:pt>
                <c:pt idx="519">
                  <c:v>0.84263185793798034</c:v>
                </c:pt>
                <c:pt idx="520">
                  <c:v>0.83434932414524232</c:v>
                </c:pt>
                <c:pt idx="521">
                  <c:v>0.82606679035250441</c:v>
                </c:pt>
                <c:pt idx="522">
                  <c:v>0.81778425655976639</c:v>
                </c:pt>
                <c:pt idx="523">
                  <c:v>0.80950172276702903</c:v>
                </c:pt>
                <c:pt idx="524">
                  <c:v>0.80121918897429101</c:v>
                </c:pt>
                <c:pt idx="525">
                  <c:v>0.79293665518155299</c:v>
                </c:pt>
                <c:pt idx="526">
                  <c:v>0.78465412138881496</c:v>
                </c:pt>
                <c:pt idx="527">
                  <c:v>0.77637158759607705</c:v>
                </c:pt>
                <c:pt idx="528">
                  <c:v>0.76808905380333958</c:v>
                </c:pt>
                <c:pt idx="529">
                  <c:v>0.75980652001060167</c:v>
                </c:pt>
                <c:pt idx="530">
                  <c:v>0.75152398621786365</c:v>
                </c:pt>
                <c:pt idx="531">
                  <c:v>0.74324145242512563</c:v>
                </c:pt>
                <c:pt idx="532">
                  <c:v>0.7349589186323876</c:v>
                </c:pt>
                <c:pt idx="533">
                  <c:v>0.72667638483965025</c:v>
                </c:pt>
                <c:pt idx="534">
                  <c:v>0.71839385104691222</c:v>
                </c:pt>
                <c:pt idx="535">
                  <c:v>0.71011131725417431</c:v>
                </c:pt>
                <c:pt idx="536">
                  <c:v>0.70182878346143629</c:v>
                </c:pt>
                <c:pt idx="537">
                  <c:v>0.69354624966869827</c:v>
                </c:pt>
                <c:pt idx="538">
                  <c:v>0.68526371587596091</c:v>
                </c:pt>
                <c:pt idx="539">
                  <c:v>0.67698118208322289</c:v>
                </c:pt>
                <c:pt idx="540">
                  <c:v>0.66869864829048486</c:v>
                </c:pt>
                <c:pt idx="541">
                  <c:v>0.66041611449774695</c:v>
                </c:pt>
                <c:pt idx="542">
                  <c:v>0.65213358070500893</c:v>
                </c:pt>
                <c:pt idx="543">
                  <c:v>0.64385104691227146</c:v>
                </c:pt>
                <c:pt idx="544">
                  <c:v>0.63556851311953355</c:v>
                </c:pt>
                <c:pt idx="545">
                  <c:v>0.62728597932679553</c:v>
                </c:pt>
                <c:pt idx="546">
                  <c:v>0.61900344553405751</c:v>
                </c:pt>
                <c:pt idx="547">
                  <c:v>0.61072091174131959</c:v>
                </c:pt>
                <c:pt idx="548">
                  <c:v>0.60243837794858213</c:v>
                </c:pt>
                <c:pt idx="549">
                  <c:v>0.5941558441558441</c:v>
                </c:pt>
                <c:pt idx="550">
                  <c:v>0.58587331036310619</c:v>
                </c:pt>
                <c:pt idx="551">
                  <c:v>0.57759077657036817</c:v>
                </c:pt>
                <c:pt idx="552">
                  <c:v>0.56930824277763015</c:v>
                </c:pt>
                <c:pt idx="553">
                  <c:v>0.56102570898489279</c:v>
                </c:pt>
                <c:pt idx="554">
                  <c:v>0.55274317519215477</c:v>
                </c:pt>
                <c:pt idx="555">
                  <c:v>0.54446064139941674</c:v>
                </c:pt>
                <c:pt idx="556">
                  <c:v>0.53617810760667883</c:v>
                </c:pt>
                <c:pt idx="557">
                  <c:v>0.52789557381394081</c:v>
                </c:pt>
                <c:pt idx="558">
                  <c:v>0.51961304002120345</c:v>
                </c:pt>
                <c:pt idx="559">
                  <c:v>0.51133050622846543</c:v>
                </c:pt>
                <c:pt idx="560">
                  <c:v>0.50304797243572741</c:v>
                </c:pt>
                <c:pt idx="561">
                  <c:v>0.49476543864298944</c:v>
                </c:pt>
                <c:pt idx="562">
                  <c:v>0.48648290485025142</c:v>
                </c:pt>
                <c:pt idx="563">
                  <c:v>0.47820037105751406</c:v>
                </c:pt>
                <c:pt idx="564">
                  <c:v>0.46991783726477604</c:v>
                </c:pt>
                <c:pt idx="565">
                  <c:v>0.46163530347203807</c:v>
                </c:pt>
                <c:pt idx="566">
                  <c:v>0.45335276967930005</c:v>
                </c:pt>
                <c:pt idx="567">
                  <c:v>0.44507023588656208</c:v>
                </c:pt>
                <c:pt idx="568">
                  <c:v>0.43678770209382467</c:v>
                </c:pt>
                <c:pt idx="569">
                  <c:v>0.4285051683010867</c:v>
                </c:pt>
                <c:pt idx="570">
                  <c:v>0.42022263450834868</c:v>
                </c:pt>
                <c:pt idx="571">
                  <c:v>0.41194010071561071</c:v>
                </c:pt>
                <c:pt idx="572">
                  <c:v>0.40365756692287269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44-48CD-80E4-96B3A0EABAFE}"/>
            </c:ext>
          </c:extLst>
        </c:ser>
        <c:ser>
          <c:idx val="2"/>
          <c:order val="2"/>
          <c:tx>
            <c:strRef>
              <c:f>Лист1!$L$1</c:f>
              <c:strCache>
                <c:ptCount val="1"/>
                <c:pt idx="0">
                  <c:v>Линия_0.4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Лист1!$A$2:$A$1000</c:f>
              <c:numCache>
                <c:formatCode>General</c:formatCode>
                <c:ptCount val="9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</c:numCache>
            </c:numRef>
          </c:xVal>
          <c:yVal>
            <c:numRef>
              <c:f>Лист1!$L$2:$L$702</c:f>
              <c:numCache>
                <c:formatCode>General</c:formatCode>
                <c:ptCount val="701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0.4</c:v>
                </c:pt>
                <c:pt idx="93">
                  <c:v>0.4</c:v>
                </c:pt>
                <c:pt idx="94">
                  <c:v>0.4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0.4</c:v>
                </c:pt>
                <c:pt idx="284">
                  <c:v>0.4</c:v>
                </c:pt>
                <c:pt idx="285">
                  <c:v>0.4</c:v>
                </c:pt>
                <c:pt idx="286">
                  <c:v>0.4</c:v>
                </c:pt>
                <c:pt idx="287">
                  <c:v>0.4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0.4</c:v>
                </c:pt>
                <c:pt idx="306">
                  <c:v>0.4</c:v>
                </c:pt>
                <c:pt idx="307">
                  <c:v>0.4</c:v>
                </c:pt>
                <c:pt idx="308">
                  <c:v>0.4</c:v>
                </c:pt>
                <c:pt idx="309">
                  <c:v>0.4</c:v>
                </c:pt>
                <c:pt idx="310">
                  <c:v>0.4</c:v>
                </c:pt>
                <c:pt idx="311">
                  <c:v>0.4</c:v>
                </c:pt>
                <c:pt idx="312">
                  <c:v>0.4</c:v>
                </c:pt>
                <c:pt idx="313">
                  <c:v>0.4</c:v>
                </c:pt>
                <c:pt idx="314">
                  <c:v>0.4</c:v>
                </c:pt>
                <c:pt idx="315">
                  <c:v>0.4</c:v>
                </c:pt>
                <c:pt idx="316">
                  <c:v>0.4</c:v>
                </c:pt>
                <c:pt idx="317">
                  <c:v>0.4</c:v>
                </c:pt>
                <c:pt idx="318">
                  <c:v>0.4</c:v>
                </c:pt>
                <c:pt idx="319">
                  <c:v>0.4</c:v>
                </c:pt>
                <c:pt idx="320">
                  <c:v>0.4</c:v>
                </c:pt>
                <c:pt idx="321">
                  <c:v>0.4</c:v>
                </c:pt>
                <c:pt idx="322">
                  <c:v>0.4</c:v>
                </c:pt>
                <c:pt idx="323">
                  <c:v>0.4</c:v>
                </c:pt>
                <c:pt idx="324">
                  <c:v>0.4</c:v>
                </c:pt>
                <c:pt idx="325">
                  <c:v>0.4</c:v>
                </c:pt>
                <c:pt idx="326">
                  <c:v>0.4</c:v>
                </c:pt>
                <c:pt idx="327">
                  <c:v>0.4</c:v>
                </c:pt>
                <c:pt idx="328">
                  <c:v>0.4</c:v>
                </c:pt>
                <c:pt idx="329">
                  <c:v>0.4</c:v>
                </c:pt>
                <c:pt idx="330">
                  <c:v>0.4</c:v>
                </c:pt>
                <c:pt idx="331">
                  <c:v>0.4</c:v>
                </c:pt>
                <c:pt idx="332">
                  <c:v>0.4</c:v>
                </c:pt>
                <c:pt idx="333">
                  <c:v>0.4</c:v>
                </c:pt>
                <c:pt idx="334">
                  <c:v>0.4</c:v>
                </c:pt>
                <c:pt idx="335">
                  <c:v>0.4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  <c:pt idx="361">
                  <c:v>0.4</c:v>
                </c:pt>
                <c:pt idx="362">
                  <c:v>0.4</c:v>
                </c:pt>
                <c:pt idx="363">
                  <c:v>0.4</c:v>
                </c:pt>
                <c:pt idx="364">
                  <c:v>0.4</c:v>
                </c:pt>
                <c:pt idx="365">
                  <c:v>0.4</c:v>
                </c:pt>
                <c:pt idx="366">
                  <c:v>0.4</c:v>
                </c:pt>
                <c:pt idx="367">
                  <c:v>0.4</c:v>
                </c:pt>
                <c:pt idx="368">
                  <c:v>0.4</c:v>
                </c:pt>
                <c:pt idx="369">
                  <c:v>0.4</c:v>
                </c:pt>
                <c:pt idx="370">
                  <c:v>0.4</c:v>
                </c:pt>
                <c:pt idx="371">
                  <c:v>0.4</c:v>
                </c:pt>
                <c:pt idx="372">
                  <c:v>0.4</c:v>
                </c:pt>
                <c:pt idx="373">
                  <c:v>0.4</c:v>
                </c:pt>
                <c:pt idx="374">
                  <c:v>0.4</c:v>
                </c:pt>
                <c:pt idx="375">
                  <c:v>0.4</c:v>
                </c:pt>
                <c:pt idx="376">
                  <c:v>0.4</c:v>
                </c:pt>
                <c:pt idx="377">
                  <c:v>0.4</c:v>
                </c:pt>
                <c:pt idx="378">
                  <c:v>0.4</c:v>
                </c:pt>
                <c:pt idx="379">
                  <c:v>0.4</c:v>
                </c:pt>
                <c:pt idx="380">
                  <c:v>0.4</c:v>
                </c:pt>
                <c:pt idx="381">
                  <c:v>0.4</c:v>
                </c:pt>
                <c:pt idx="382">
                  <c:v>0.4</c:v>
                </c:pt>
                <c:pt idx="383">
                  <c:v>0.4</c:v>
                </c:pt>
                <c:pt idx="384">
                  <c:v>0.4</c:v>
                </c:pt>
                <c:pt idx="385">
                  <c:v>0.4</c:v>
                </c:pt>
                <c:pt idx="386">
                  <c:v>0.4</c:v>
                </c:pt>
                <c:pt idx="387">
                  <c:v>0.4</c:v>
                </c:pt>
                <c:pt idx="388">
                  <c:v>0.4</c:v>
                </c:pt>
                <c:pt idx="389">
                  <c:v>0.4</c:v>
                </c:pt>
                <c:pt idx="390">
                  <c:v>0.4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0.4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0.4</c:v>
                </c:pt>
                <c:pt idx="424">
                  <c:v>0.4</c:v>
                </c:pt>
                <c:pt idx="425">
                  <c:v>0.4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0.4</c:v>
                </c:pt>
                <c:pt idx="453">
                  <c:v>0.4</c:v>
                </c:pt>
                <c:pt idx="454">
                  <c:v>0.4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0.4</c:v>
                </c:pt>
                <c:pt idx="460">
                  <c:v>0.4</c:v>
                </c:pt>
                <c:pt idx="461">
                  <c:v>0.4</c:v>
                </c:pt>
                <c:pt idx="462">
                  <c:v>0.4</c:v>
                </c:pt>
                <c:pt idx="463">
                  <c:v>0.4</c:v>
                </c:pt>
                <c:pt idx="464">
                  <c:v>0.4</c:v>
                </c:pt>
                <c:pt idx="465">
                  <c:v>0.4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0.4</c:v>
                </c:pt>
                <c:pt idx="470">
                  <c:v>0.4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0.4</c:v>
                </c:pt>
                <c:pt idx="476">
                  <c:v>0.4</c:v>
                </c:pt>
                <c:pt idx="477">
                  <c:v>0.4</c:v>
                </c:pt>
                <c:pt idx="478">
                  <c:v>0.4</c:v>
                </c:pt>
                <c:pt idx="479">
                  <c:v>0.4</c:v>
                </c:pt>
                <c:pt idx="480">
                  <c:v>0.4</c:v>
                </c:pt>
                <c:pt idx="481">
                  <c:v>0.4</c:v>
                </c:pt>
                <c:pt idx="482">
                  <c:v>0.4</c:v>
                </c:pt>
                <c:pt idx="483">
                  <c:v>0.4</c:v>
                </c:pt>
                <c:pt idx="484">
                  <c:v>0.4</c:v>
                </c:pt>
                <c:pt idx="485">
                  <c:v>0.4</c:v>
                </c:pt>
                <c:pt idx="486">
                  <c:v>0.4</c:v>
                </c:pt>
                <c:pt idx="487">
                  <c:v>0.4</c:v>
                </c:pt>
                <c:pt idx="488">
                  <c:v>0.4</c:v>
                </c:pt>
                <c:pt idx="489">
                  <c:v>0.4</c:v>
                </c:pt>
                <c:pt idx="490">
                  <c:v>0.4</c:v>
                </c:pt>
                <c:pt idx="491">
                  <c:v>0.4</c:v>
                </c:pt>
                <c:pt idx="492">
                  <c:v>0.4</c:v>
                </c:pt>
                <c:pt idx="493">
                  <c:v>0.4</c:v>
                </c:pt>
                <c:pt idx="494">
                  <c:v>0.4</c:v>
                </c:pt>
                <c:pt idx="495">
                  <c:v>0.4</c:v>
                </c:pt>
                <c:pt idx="496">
                  <c:v>0.4</c:v>
                </c:pt>
                <c:pt idx="497">
                  <c:v>0.4</c:v>
                </c:pt>
                <c:pt idx="498">
                  <c:v>0.4</c:v>
                </c:pt>
                <c:pt idx="499">
                  <c:v>0.4</c:v>
                </c:pt>
                <c:pt idx="500">
                  <c:v>0.4</c:v>
                </c:pt>
                <c:pt idx="501">
                  <c:v>0.4</c:v>
                </c:pt>
                <c:pt idx="502">
                  <c:v>0.4</c:v>
                </c:pt>
                <c:pt idx="503">
                  <c:v>0.4</c:v>
                </c:pt>
                <c:pt idx="504">
                  <c:v>0.4</c:v>
                </c:pt>
                <c:pt idx="505">
                  <c:v>0.4</c:v>
                </c:pt>
                <c:pt idx="506">
                  <c:v>0.4</c:v>
                </c:pt>
                <c:pt idx="507">
                  <c:v>0.4</c:v>
                </c:pt>
                <c:pt idx="508">
                  <c:v>0.4</c:v>
                </c:pt>
                <c:pt idx="509">
                  <c:v>0.4</c:v>
                </c:pt>
                <c:pt idx="510">
                  <c:v>0.4</c:v>
                </c:pt>
                <c:pt idx="511">
                  <c:v>0.4</c:v>
                </c:pt>
                <c:pt idx="512">
                  <c:v>0.4</c:v>
                </c:pt>
                <c:pt idx="513">
                  <c:v>0.4</c:v>
                </c:pt>
                <c:pt idx="514">
                  <c:v>0.4</c:v>
                </c:pt>
                <c:pt idx="515">
                  <c:v>0.4</c:v>
                </c:pt>
                <c:pt idx="516">
                  <c:v>0.4</c:v>
                </c:pt>
                <c:pt idx="517">
                  <c:v>0.4</c:v>
                </c:pt>
                <c:pt idx="518">
                  <c:v>0.4</c:v>
                </c:pt>
                <c:pt idx="519">
                  <c:v>0.4</c:v>
                </c:pt>
                <c:pt idx="520">
                  <c:v>0.4</c:v>
                </c:pt>
                <c:pt idx="521">
                  <c:v>0.4</c:v>
                </c:pt>
                <c:pt idx="522">
                  <c:v>0.4</c:v>
                </c:pt>
                <c:pt idx="523">
                  <c:v>0.4</c:v>
                </c:pt>
                <c:pt idx="524">
                  <c:v>0.4</c:v>
                </c:pt>
                <c:pt idx="525">
                  <c:v>0.4</c:v>
                </c:pt>
                <c:pt idx="526">
                  <c:v>0.4</c:v>
                </c:pt>
                <c:pt idx="527">
                  <c:v>0.4</c:v>
                </c:pt>
                <c:pt idx="528">
                  <c:v>0.4</c:v>
                </c:pt>
                <c:pt idx="529">
                  <c:v>0.4</c:v>
                </c:pt>
                <c:pt idx="530">
                  <c:v>0.4</c:v>
                </c:pt>
                <c:pt idx="531">
                  <c:v>0.4</c:v>
                </c:pt>
                <c:pt idx="532">
                  <c:v>0.4</c:v>
                </c:pt>
                <c:pt idx="533">
                  <c:v>0.4</c:v>
                </c:pt>
                <c:pt idx="534">
                  <c:v>0.4</c:v>
                </c:pt>
                <c:pt idx="535">
                  <c:v>0.4</c:v>
                </c:pt>
                <c:pt idx="536">
                  <c:v>0.4</c:v>
                </c:pt>
                <c:pt idx="537">
                  <c:v>0.4</c:v>
                </c:pt>
                <c:pt idx="538">
                  <c:v>0.4</c:v>
                </c:pt>
                <c:pt idx="539">
                  <c:v>0.4</c:v>
                </c:pt>
                <c:pt idx="540">
                  <c:v>0.4</c:v>
                </c:pt>
                <c:pt idx="541">
                  <c:v>0.4</c:v>
                </c:pt>
                <c:pt idx="542">
                  <c:v>0.4</c:v>
                </c:pt>
                <c:pt idx="543">
                  <c:v>0.4</c:v>
                </c:pt>
                <c:pt idx="544">
                  <c:v>0.4</c:v>
                </c:pt>
                <c:pt idx="545">
                  <c:v>0.4</c:v>
                </c:pt>
                <c:pt idx="546">
                  <c:v>0.4</c:v>
                </c:pt>
                <c:pt idx="547">
                  <c:v>0.4</c:v>
                </c:pt>
                <c:pt idx="548">
                  <c:v>0.4</c:v>
                </c:pt>
                <c:pt idx="549">
                  <c:v>0.4</c:v>
                </c:pt>
                <c:pt idx="550">
                  <c:v>0.4</c:v>
                </c:pt>
                <c:pt idx="551">
                  <c:v>0.4</c:v>
                </c:pt>
                <c:pt idx="552">
                  <c:v>0.4</c:v>
                </c:pt>
                <c:pt idx="553">
                  <c:v>0.4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0.4</c:v>
                </c:pt>
                <c:pt idx="559">
                  <c:v>0.4</c:v>
                </c:pt>
                <c:pt idx="560">
                  <c:v>0.4</c:v>
                </c:pt>
                <c:pt idx="561">
                  <c:v>0.4</c:v>
                </c:pt>
                <c:pt idx="562">
                  <c:v>0.4</c:v>
                </c:pt>
                <c:pt idx="563">
                  <c:v>0.4</c:v>
                </c:pt>
                <c:pt idx="564">
                  <c:v>0.4</c:v>
                </c:pt>
                <c:pt idx="565">
                  <c:v>0.4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0.4</c:v>
                </c:pt>
                <c:pt idx="575">
                  <c:v>0.4</c:v>
                </c:pt>
                <c:pt idx="576">
                  <c:v>0.4</c:v>
                </c:pt>
                <c:pt idx="577">
                  <c:v>0.4</c:v>
                </c:pt>
                <c:pt idx="578">
                  <c:v>0.4</c:v>
                </c:pt>
                <c:pt idx="579">
                  <c:v>0.4</c:v>
                </c:pt>
                <c:pt idx="580">
                  <c:v>0.4</c:v>
                </c:pt>
                <c:pt idx="581">
                  <c:v>0.4</c:v>
                </c:pt>
                <c:pt idx="582">
                  <c:v>0.4</c:v>
                </c:pt>
                <c:pt idx="583">
                  <c:v>0.4</c:v>
                </c:pt>
                <c:pt idx="584">
                  <c:v>0.4</c:v>
                </c:pt>
                <c:pt idx="585">
                  <c:v>0.4</c:v>
                </c:pt>
                <c:pt idx="586">
                  <c:v>0.4</c:v>
                </c:pt>
                <c:pt idx="587">
                  <c:v>0.4</c:v>
                </c:pt>
                <c:pt idx="588">
                  <c:v>0.4</c:v>
                </c:pt>
                <c:pt idx="589">
                  <c:v>0.4</c:v>
                </c:pt>
                <c:pt idx="590">
                  <c:v>0.4</c:v>
                </c:pt>
                <c:pt idx="591">
                  <c:v>0.4</c:v>
                </c:pt>
                <c:pt idx="592">
                  <c:v>0.4</c:v>
                </c:pt>
                <c:pt idx="593">
                  <c:v>0.4</c:v>
                </c:pt>
                <c:pt idx="594">
                  <c:v>0.4</c:v>
                </c:pt>
                <c:pt idx="595">
                  <c:v>0.4</c:v>
                </c:pt>
                <c:pt idx="596">
                  <c:v>0.4</c:v>
                </c:pt>
                <c:pt idx="597">
                  <c:v>0.4</c:v>
                </c:pt>
                <c:pt idx="598">
                  <c:v>0.4</c:v>
                </c:pt>
                <c:pt idx="599">
                  <c:v>0.4</c:v>
                </c:pt>
                <c:pt idx="600">
                  <c:v>0.4</c:v>
                </c:pt>
                <c:pt idx="601">
                  <c:v>0.4</c:v>
                </c:pt>
                <c:pt idx="602">
                  <c:v>0.4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</c:v>
                </c:pt>
                <c:pt idx="607">
                  <c:v>0.4</c:v>
                </c:pt>
                <c:pt idx="608">
                  <c:v>0.4</c:v>
                </c:pt>
                <c:pt idx="609">
                  <c:v>0.4</c:v>
                </c:pt>
                <c:pt idx="610">
                  <c:v>0.4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0.4</c:v>
                </c:pt>
                <c:pt idx="616">
                  <c:v>0.4</c:v>
                </c:pt>
                <c:pt idx="617">
                  <c:v>0.4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0.4</c:v>
                </c:pt>
                <c:pt idx="623">
                  <c:v>0.4</c:v>
                </c:pt>
                <c:pt idx="624">
                  <c:v>0.4</c:v>
                </c:pt>
                <c:pt idx="625">
                  <c:v>0.4</c:v>
                </c:pt>
                <c:pt idx="626">
                  <c:v>0.4</c:v>
                </c:pt>
                <c:pt idx="627">
                  <c:v>0.4</c:v>
                </c:pt>
                <c:pt idx="628">
                  <c:v>0.4</c:v>
                </c:pt>
                <c:pt idx="629">
                  <c:v>0.4</c:v>
                </c:pt>
                <c:pt idx="630">
                  <c:v>0.4</c:v>
                </c:pt>
                <c:pt idx="631">
                  <c:v>0.4</c:v>
                </c:pt>
                <c:pt idx="632">
                  <c:v>0.4</c:v>
                </c:pt>
                <c:pt idx="633">
                  <c:v>0.4</c:v>
                </c:pt>
                <c:pt idx="634">
                  <c:v>0.4</c:v>
                </c:pt>
                <c:pt idx="635">
                  <c:v>0.4</c:v>
                </c:pt>
                <c:pt idx="636">
                  <c:v>0.4</c:v>
                </c:pt>
                <c:pt idx="637">
                  <c:v>0.4</c:v>
                </c:pt>
                <c:pt idx="638">
                  <c:v>0.4</c:v>
                </c:pt>
                <c:pt idx="639">
                  <c:v>0.4</c:v>
                </c:pt>
                <c:pt idx="640">
                  <c:v>0.4</c:v>
                </c:pt>
                <c:pt idx="641">
                  <c:v>0.4</c:v>
                </c:pt>
                <c:pt idx="642">
                  <c:v>0.4</c:v>
                </c:pt>
                <c:pt idx="643">
                  <c:v>0.4</c:v>
                </c:pt>
                <c:pt idx="644">
                  <c:v>0.4</c:v>
                </c:pt>
                <c:pt idx="645">
                  <c:v>0.4</c:v>
                </c:pt>
                <c:pt idx="646">
                  <c:v>0.4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0.4</c:v>
                </c:pt>
                <c:pt idx="671">
                  <c:v>0.4</c:v>
                </c:pt>
                <c:pt idx="672">
                  <c:v>0.4</c:v>
                </c:pt>
                <c:pt idx="673">
                  <c:v>0.4</c:v>
                </c:pt>
                <c:pt idx="674">
                  <c:v>0.4</c:v>
                </c:pt>
                <c:pt idx="675">
                  <c:v>0.4</c:v>
                </c:pt>
                <c:pt idx="676">
                  <c:v>0.4</c:v>
                </c:pt>
                <c:pt idx="677">
                  <c:v>0.4</c:v>
                </c:pt>
                <c:pt idx="678">
                  <c:v>0.4</c:v>
                </c:pt>
                <c:pt idx="679">
                  <c:v>0.4</c:v>
                </c:pt>
                <c:pt idx="680">
                  <c:v>0.4</c:v>
                </c:pt>
                <c:pt idx="681">
                  <c:v>0.4</c:v>
                </c:pt>
                <c:pt idx="682">
                  <c:v>0.4</c:v>
                </c:pt>
                <c:pt idx="683">
                  <c:v>0.4</c:v>
                </c:pt>
                <c:pt idx="684">
                  <c:v>0.4</c:v>
                </c:pt>
                <c:pt idx="685">
                  <c:v>0.4</c:v>
                </c:pt>
                <c:pt idx="686">
                  <c:v>0.4</c:v>
                </c:pt>
                <c:pt idx="687">
                  <c:v>0.4</c:v>
                </c:pt>
                <c:pt idx="688">
                  <c:v>0.4</c:v>
                </c:pt>
                <c:pt idx="689">
                  <c:v>0.4</c:v>
                </c:pt>
                <c:pt idx="690">
                  <c:v>0.4</c:v>
                </c:pt>
                <c:pt idx="691">
                  <c:v>0.4</c:v>
                </c:pt>
                <c:pt idx="692">
                  <c:v>0.4</c:v>
                </c:pt>
                <c:pt idx="693">
                  <c:v>0.4</c:v>
                </c:pt>
                <c:pt idx="694">
                  <c:v>0.4</c:v>
                </c:pt>
                <c:pt idx="695">
                  <c:v>0.4</c:v>
                </c:pt>
                <c:pt idx="696">
                  <c:v>0.4</c:v>
                </c:pt>
                <c:pt idx="697">
                  <c:v>0.4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44-48CD-80E4-96B3A0EABAFE}"/>
            </c:ext>
          </c:extLst>
        </c:ser>
        <c:ser>
          <c:idx val="3"/>
          <c:order val="3"/>
          <c:tx>
            <c:v>Методы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"/>
            <c:marker>
              <c:symbol val="circle"/>
              <c:size val="8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644-48CD-80E4-96B3A0EABAFE}"/>
              </c:ext>
            </c:extLst>
          </c:dPt>
          <c:dPt>
            <c:idx val="2"/>
            <c:marker>
              <c:symbol val="circle"/>
              <c:size val="8"/>
              <c:spPr>
                <a:solidFill>
                  <a:schemeClr val="accent5">
                    <a:lumMod val="75000"/>
                  </a:schemeClr>
                </a:solidFill>
                <a:ln w="9525">
                  <a:solidFill>
                    <a:schemeClr val="accent5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644-48CD-80E4-96B3A0EABAFE}"/>
              </c:ext>
            </c:extLst>
          </c:dPt>
          <c:dPt>
            <c:idx val="3"/>
            <c:marker>
              <c:symbol val="circle"/>
              <c:size val="8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644-48CD-80E4-96B3A0EABAFE}"/>
              </c:ext>
            </c:extLst>
          </c:dPt>
          <c:dPt>
            <c:idx val="4"/>
            <c:marker>
              <c:symbol val="circle"/>
              <c:size val="8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644-48CD-80E4-96B3A0EABAFE}"/>
              </c:ext>
            </c:extLst>
          </c:dPt>
          <c:dLbls>
            <c:dLbl>
              <c:idx val="0"/>
              <c:layout>
                <c:manualLayout>
                  <c:x val="-2.9466963657316173E-2"/>
                  <c:y val="3.814313401639807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ru-RU"/>
                      <a:t>Центр среза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423049258683494"/>
                      <c:h val="0.10370542873136768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3644-48CD-80E4-96B3A0EABA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Лист1!$M$6</c:f>
              <c:numCache>
                <c:formatCode>General</c:formatCode>
                <c:ptCount val="1"/>
                <c:pt idx="0">
                  <c:v>44.15</c:v>
                </c:pt>
              </c:numCache>
            </c:numRef>
          </c:xVal>
          <c:yVal>
            <c:numRef>
              <c:f>Лист1!$N$6</c:f>
              <c:numCache>
                <c:formatCode>General</c:formatCode>
                <c:ptCount val="1"/>
                <c:pt idx="0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644-48CD-80E4-96B3A0EABAFE}"/>
            </c:ext>
          </c:extLst>
        </c:ser>
        <c:ser>
          <c:idx val="5"/>
          <c:order val="4"/>
          <c:tx>
            <c:v>Прямоугольник среза</c:v>
          </c:tx>
          <c:spPr>
            <a:ln w="19050" cap="flat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Лист1!$O$63:$O$67</c:f>
              <c:numCache>
                <c:formatCode>0.00</c:formatCode>
                <c:ptCount val="5"/>
                <c:pt idx="0">
                  <c:v>31.1</c:v>
                </c:pt>
                <c:pt idx="1">
                  <c:v>31.1</c:v>
                </c:pt>
                <c:pt idx="2">
                  <c:v>57.2</c:v>
                </c:pt>
                <c:pt idx="3">
                  <c:v>57.2</c:v>
                </c:pt>
                <c:pt idx="4">
                  <c:v>31.1</c:v>
                </c:pt>
              </c:numCache>
            </c:numRef>
          </c:xVal>
          <c:yVal>
            <c:numRef>
              <c:f>Лист1!$P$63:$P$67</c:f>
              <c:numCache>
                <c:formatCode>0.00</c:formatCode>
                <c:ptCount val="5"/>
                <c:pt idx="0">
                  <c:v>0</c:v>
                </c:pt>
                <c:pt idx="1">
                  <c:v>0.4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644-48CD-80E4-96B3A0EAB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070031"/>
        <c:axId val="241072111"/>
      </c:scatterChart>
      <c:valAx>
        <c:axId val="241070031"/>
        <c:scaling>
          <c:orientation val="minMax"/>
          <c:max val="6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x</a:t>
                </a:r>
                <a:endParaRPr lang="ru-RU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072111"/>
        <c:crosses val="autoZero"/>
        <c:crossBetween val="midCat"/>
      </c:valAx>
      <c:valAx>
        <c:axId val="24107211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070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786427</xdr:colOff>
      <xdr:row>18</xdr:row>
      <xdr:rowOff>193034</xdr:rowOff>
    </xdr:from>
    <xdr:to>
      <xdr:col>19</xdr:col>
      <xdr:colOff>575118</xdr:colOff>
      <xdr:row>40</xdr:row>
      <xdr:rowOff>139967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AB63226-DACA-4680-9F67-92D906740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597478</xdr:colOff>
      <xdr:row>38</xdr:row>
      <xdr:rowOff>121227</xdr:rowOff>
    </xdr:from>
    <xdr:to>
      <xdr:col>19</xdr:col>
      <xdr:colOff>386169</xdr:colOff>
      <xdr:row>60</xdr:row>
      <xdr:rowOff>68160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7985A71-D016-40EC-B56F-7065EA1D1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zoomScale="110" workbookViewId="0">
      <selection activeCell="V7" sqref="V1:V7"/>
    </sheetView>
  </sheetViews>
  <sheetFormatPr defaultColWidth="12.5703125" defaultRowHeight="15.75" customHeight="1"/>
  <cols>
    <col min="1" max="8" width="12.5703125" style="14"/>
    <col min="9" max="9" width="17.5703125" style="14" customWidth="1"/>
    <col min="10" max="10" width="12.5703125" style="14"/>
    <col min="11" max="11" width="16" style="14" customWidth="1"/>
    <col min="12" max="12" width="14.5703125" style="14" customWidth="1"/>
    <col min="13" max="13" width="12.42578125" style="6" customWidth="1"/>
    <col min="14" max="14" width="9.85546875" style="6" customWidth="1"/>
    <col min="15" max="15" width="17.42578125" style="6" customWidth="1"/>
    <col min="16" max="16" width="18.7109375" style="6" customWidth="1"/>
    <col min="19" max="19" width="16.42578125" customWidth="1"/>
    <col min="20" max="20" width="17.7109375" customWidth="1"/>
    <col min="21" max="21" width="19.42578125" customWidth="1"/>
    <col min="22" max="22" width="16.140625" customWidth="1"/>
    <col min="23" max="23" width="18.85546875" customWidth="1"/>
  </cols>
  <sheetData>
    <row r="1" spans="1:23" s="8" customFormat="1" ht="15.7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15</v>
      </c>
      <c r="J1" s="11" t="s">
        <v>16</v>
      </c>
      <c r="K1" s="11" t="s">
        <v>17</v>
      </c>
      <c r="L1" s="11" t="s">
        <v>18</v>
      </c>
      <c r="M1" s="16" t="s">
        <v>19</v>
      </c>
      <c r="N1" s="12" t="s">
        <v>20</v>
      </c>
      <c r="O1" s="12" t="s">
        <v>21</v>
      </c>
      <c r="P1" s="10" t="s">
        <v>22</v>
      </c>
      <c r="Q1" s="9"/>
      <c r="W1" s="7"/>
    </row>
    <row r="2" spans="1:23">
      <c r="A2" s="13">
        <v>0</v>
      </c>
      <c r="B2" s="13">
        <f t="shared" ref="B2:B702" si="0">IF(A2&lt;=28.4118,0,IF(A2&lt;35,(A2-28.4118)/6.5882,IF(A2&lt;=50,1,IF(A2&lt;62.0736,(62.0736-A2)/12.0736,0))))</f>
        <v>0</v>
      </c>
      <c r="C2" s="13" t="str">
        <f>IF(B2&gt;=$S$2, A2, "")</f>
        <v/>
      </c>
      <c r="D2" s="13" t="str">
        <f>IF(AND(B2=1, B2&gt;=$S$2), A2, "")</f>
        <v/>
      </c>
      <c r="E2" s="13">
        <f>IF(B2&gt;=$S$2, B2, 0)</f>
        <v>0</v>
      </c>
      <c r="F2" s="13">
        <f t="shared" ref="F2:F702" si="1">A2 * E2 * (A3 - A2)</f>
        <v>0</v>
      </c>
      <c r="G2" s="13">
        <f t="shared" ref="G2:G702" si="2">E2 * (A3 - A2)</f>
        <v>0</v>
      </c>
      <c r="H2" s="13" t="str">
        <f>IF(B2&gt;=$T$2, A2, "")</f>
        <v/>
      </c>
      <c r="I2" s="14" t="e">
        <f>IF($B2&gt;=0.5, $B2, #N/A)</f>
        <v>#N/A</v>
      </c>
      <c r="J2" s="14">
        <v>0.5</v>
      </c>
      <c r="K2" s="14" t="e">
        <f>IF($B2&gt;=0.4, $B2, #N/A)</f>
        <v>#N/A</v>
      </c>
      <c r="L2" s="14">
        <v>0.4</v>
      </c>
      <c r="M2" s="17">
        <v>35</v>
      </c>
      <c r="N2" s="14">
        <v>1</v>
      </c>
      <c r="O2" s="14">
        <v>31.8</v>
      </c>
      <c r="P2" s="14">
        <v>0</v>
      </c>
      <c r="Q2" s="1"/>
      <c r="S2" s="1">
        <v>0.5</v>
      </c>
      <c r="T2" s="1">
        <v>0.4</v>
      </c>
      <c r="V2" s="3"/>
      <c r="W2" s="2"/>
    </row>
    <row r="3" spans="1:23" ht="12.75">
      <c r="A3" s="13">
        <v>0.1</v>
      </c>
      <c r="B3" s="13">
        <f t="shared" si="0"/>
        <v>0</v>
      </c>
      <c r="C3" s="13" t="str">
        <f>IF(B3&gt;=$S$2, A3, "")</f>
        <v/>
      </c>
      <c r="D3" s="13" t="str">
        <f>IF(AND(B3=1, B3&gt;=$S$2), A3, "")</f>
        <v/>
      </c>
      <c r="E3" s="13">
        <f>IF(B3&gt;=$S$2, B3, 0)</f>
        <v>0</v>
      </c>
      <c r="F3" s="13">
        <f t="shared" si="1"/>
        <v>0</v>
      </c>
      <c r="G3" s="13">
        <f t="shared" si="2"/>
        <v>0</v>
      </c>
      <c r="H3" s="13" t="str">
        <f>IF(B3&gt;=$T$2, A3, "")</f>
        <v/>
      </c>
      <c r="I3" s="14" t="e">
        <f t="shared" ref="I3:I66" si="3">IF($B3&gt;=0.5, $B3, #N/A)</f>
        <v>#N/A</v>
      </c>
      <c r="J3" s="14">
        <v>0.5</v>
      </c>
      <c r="K3" s="14" t="e">
        <f t="shared" ref="K3:K66" si="4">IF($B3&gt;=0.4, $B3, #N/A)</f>
        <v>#N/A</v>
      </c>
      <c r="L3" s="14">
        <v>0.4</v>
      </c>
      <c r="M3" s="17">
        <v>42.5</v>
      </c>
      <c r="N3" s="15">
        <v>1</v>
      </c>
      <c r="O3" s="15">
        <v>31.8</v>
      </c>
      <c r="P3" s="13">
        <v>0.5</v>
      </c>
      <c r="Q3" s="1"/>
      <c r="R3" s="1" t="s">
        <v>8</v>
      </c>
      <c r="S3" s="2">
        <f>MIN(C:C)</f>
        <v>31.8</v>
      </c>
      <c r="V3" s="3"/>
      <c r="W3" s="2"/>
    </row>
    <row r="4" spans="1:23" ht="12.75">
      <c r="A4" s="13">
        <v>0.2</v>
      </c>
      <c r="B4" s="13">
        <f t="shared" si="0"/>
        <v>0</v>
      </c>
      <c r="C4" s="13" t="str">
        <f>IF(B4&gt;=$S$2, A4, "")</f>
        <v/>
      </c>
      <c r="D4" s="13" t="str">
        <f>IF(AND(B4=1, B4&gt;=$S$2), A4, "")</f>
        <v/>
      </c>
      <c r="E4" s="13">
        <f>IF(B4&gt;=$S$2, B4, 0)</f>
        <v>0</v>
      </c>
      <c r="F4" s="13">
        <f t="shared" si="1"/>
        <v>0</v>
      </c>
      <c r="G4" s="13">
        <f t="shared" si="2"/>
        <v>0</v>
      </c>
      <c r="H4" s="13" t="str">
        <f>IF(B4&gt;=$T$2, A4, "")</f>
        <v/>
      </c>
      <c r="I4" s="14" t="e">
        <f t="shared" si="3"/>
        <v>#N/A</v>
      </c>
      <c r="J4" s="14">
        <v>0.5</v>
      </c>
      <c r="K4" s="14" t="e">
        <f t="shared" si="4"/>
        <v>#N/A</v>
      </c>
      <c r="L4" s="14">
        <v>0.4</v>
      </c>
      <c r="M4" s="17">
        <v>50</v>
      </c>
      <c r="N4" s="15">
        <v>1</v>
      </c>
      <c r="O4" s="15" t="e">
        <v>#N/A</v>
      </c>
      <c r="P4" s="13" t="s">
        <v>23</v>
      </c>
      <c r="Q4" s="1"/>
      <c r="R4" s="1" t="s">
        <v>9</v>
      </c>
      <c r="S4" s="2">
        <f>MAX(C:C)</f>
        <v>56</v>
      </c>
      <c r="V4" s="3"/>
      <c r="W4" s="2"/>
    </row>
    <row r="5" spans="1:23" ht="12.75">
      <c r="A5" s="13">
        <v>0.3</v>
      </c>
      <c r="B5" s="13">
        <f t="shared" si="0"/>
        <v>0</v>
      </c>
      <c r="C5" s="13" t="str">
        <f>IF(B5&gt;=$S$2, A5, "")</f>
        <v/>
      </c>
      <c r="D5" s="13" t="str">
        <f>IF(AND(B5=1, B5&gt;=$S$2), A5, "")</f>
        <v/>
      </c>
      <c r="E5" s="13">
        <f>IF(B5&gt;=$S$2, B5, 0)</f>
        <v>0</v>
      </c>
      <c r="F5" s="13">
        <f t="shared" si="1"/>
        <v>0</v>
      </c>
      <c r="G5" s="13">
        <f t="shared" si="2"/>
        <v>0</v>
      </c>
      <c r="H5" s="13" t="str">
        <f>IF(B5&gt;=$T$2, A5, "")</f>
        <v/>
      </c>
      <c r="I5" s="14" t="e">
        <f t="shared" si="3"/>
        <v>#N/A</v>
      </c>
      <c r="J5" s="14">
        <v>0.5</v>
      </c>
      <c r="K5" s="14" t="e">
        <f t="shared" si="4"/>
        <v>#N/A</v>
      </c>
      <c r="L5" s="14">
        <v>0.4</v>
      </c>
      <c r="M5" s="17">
        <v>43.6</v>
      </c>
      <c r="N5" s="15">
        <v>0.5</v>
      </c>
      <c r="O5" s="15">
        <v>56</v>
      </c>
      <c r="P5" s="13">
        <v>0</v>
      </c>
      <c r="Q5" s="1"/>
      <c r="V5" s="3"/>
      <c r="W5" s="2"/>
    </row>
    <row r="6" spans="1:23">
      <c r="A6" s="13">
        <v>0.4</v>
      </c>
      <c r="B6" s="13">
        <f t="shared" si="0"/>
        <v>0</v>
      </c>
      <c r="C6" s="13" t="str">
        <f>IF(B6&gt;=$S$2, A6, "")</f>
        <v/>
      </c>
      <c r="D6" s="13" t="str">
        <f>IF(AND(B6=1, B6&gt;=$S$2), A6, "")</f>
        <v/>
      </c>
      <c r="E6" s="13">
        <f>IF(B6&gt;=$S$2, B6, 0)</f>
        <v>0</v>
      </c>
      <c r="F6" s="13">
        <f t="shared" si="1"/>
        <v>0</v>
      </c>
      <c r="G6" s="13">
        <f t="shared" si="2"/>
        <v>0</v>
      </c>
      <c r="H6" s="13" t="str">
        <f>IF(B6&gt;=$T$2, A6, "")</f>
        <v/>
      </c>
      <c r="I6" s="14" t="e">
        <f t="shared" si="3"/>
        <v>#N/A</v>
      </c>
      <c r="J6" s="14">
        <v>0.5</v>
      </c>
      <c r="K6" s="14" t="e">
        <f t="shared" si="4"/>
        <v>#N/A</v>
      </c>
      <c r="L6" s="14">
        <v>0.4</v>
      </c>
      <c r="M6" s="17">
        <v>44.15</v>
      </c>
      <c r="N6" s="15">
        <v>0.4</v>
      </c>
      <c r="O6" s="15">
        <v>56</v>
      </c>
      <c r="P6" s="13">
        <v>0.5</v>
      </c>
      <c r="Q6" s="1"/>
      <c r="R6" s="1" t="s">
        <v>10</v>
      </c>
      <c r="S6" s="2">
        <f>MIN(D:D)</f>
        <v>35</v>
      </c>
      <c r="W6" s="2"/>
    </row>
    <row r="7" spans="1:23">
      <c r="A7" s="13">
        <v>0.5</v>
      </c>
      <c r="B7" s="13">
        <f t="shared" si="0"/>
        <v>0</v>
      </c>
      <c r="C7" s="13" t="str">
        <f>IF(B7&gt;=$S$2, A7, "")</f>
        <v/>
      </c>
      <c r="D7" s="13" t="str">
        <f>IF(AND(B7=1, B7&gt;=$S$2), A7, "")</f>
        <v/>
      </c>
      <c r="E7" s="13">
        <f>IF(B7&gt;=$S$2, B7, 0)</f>
        <v>0</v>
      </c>
      <c r="F7" s="13">
        <f t="shared" si="1"/>
        <v>0</v>
      </c>
      <c r="G7" s="13">
        <f t="shared" si="2"/>
        <v>0</v>
      </c>
      <c r="H7" s="13" t="str">
        <f>IF(B7&gt;=$T$2, A7, "")</f>
        <v/>
      </c>
      <c r="I7" s="14" t="e">
        <f t="shared" si="3"/>
        <v>#N/A</v>
      </c>
      <c r="J7" s="14">
        <v>0.5</v>
      </c>
      <c r="K7" s="14" t="e">
        <f t="shared" si="4"/>
        <v>#N/A</v>
      </c>
      <c r="L7" s="14">
        <v>0.4</v>
      </c>
      <c r="N7" s="4"/>
      <c r="O7" s="4"/>
      <c r="P7" s="5"/>
      <c r="Q7" s="1"/>
      <c r="R7" s="1" t="s">
        <v>11</v>
      </c>
      <c r="S7" s="2">
        <f>MAX(D:D)</f>
        <v>50</v>
      </c>
      <c r="W7" s="2"/>
    </row>
    <row r="8" spans="1:23">
      <c r="A8" s="13">
        <v>0.6</v>
      </c>
      <c r="B8" s="13">
        <f t="shared" si="0"/>
        <v>0</v>
      </c>
      <c r="C8" s="13" t="str">
        <f>IF(B8&gt;=$S$2, A8, "")</f>
        <v/>
      </c>
      <c r="D8" s="13" t="str">
        <f>IF(AND(B8=1, B8&gt;=$S$2), A8, "")</f>
        <v/>
      </c>
      <c r="E8" s="13">
        <f>IF(B8&gt;=$S$2, B8, 0)</f>
        <v>0</v>
      </c>
      <c r="F8" s="13">
        <f t="shared" si="1"/>
        <v>0</v>
      </c>
      <c r="G8" s="13">
        <f t="shared" si="2"/>
        <v>0</v>
      </c>
      <c r="H8" s="13" t="str">
        <f>IF(B8&gt;=$T$2, A8, "")</f>
        <v/>
      </c>
      <c r="I8" s="14" t="e">
        <f t="shared" si="3"/>
        <v>#N/A</v>
      </c>
      <c r="J8" s="14">
        <v>0.5</v>
      </c>
      <c r="K8" s="14" t="e">
        <f t="shared" si="4"/>
        <v>#N/A</v>
      </c>
      <c r="L8" s="14">
        <v>0.4</v>
      </c>
      <c r="N8" s="4"/>
      <c r="O8" s="4"/>
      <c r="P8" s="5"/>
      <c r="Q8" s="1"/>
      <c r="R8" s="1" t="s">
        <v>12</v>
      </c>
      <c r="S8" s="2">
        <f>(MIN(D:D) + MAX(D:D)) / 2</f>
        <v>42.5</v>
      </c>
      <c r="W8" s="2"/>
    </row>
    <row r="9" spans="1:23">
      <c r="A9" s="13">
        <v>0.7</v>
      </c>
      <c r="B9" s="13">
        <f t="shared" si="0"/>
        <v>0</v>
      </c>
      <c r="C9" s="13" t="str">
        <f>IF(B9&gt;=$S$2, A9, "")</f>
        <v/>
      </c>
      <c r="D9" s="13" t="str">
        <f>IF(AND(B9=1, B9&gt;=$S$2), A9, "")</f>
        <v/>
      </c>
      <c r="E9" s="13">
        <f>IF(B9&gt;=$S$2, B9, 0)</f>
        <v>0</v>
      </c>
      <c r="F9" s="13">
        <f t="shared" si="1"/>
        <v>0</v>
      </c>
      <c r="G9" s="13">
        <f t="shared" si="2"/>
        <v>0</v>
      </c>
      <c r="H9" s="13" t="str">
        <f>IF(B9&gt;=$T$2, A9, "")</f>
        <v/>
      </c>
      <c r="I9" s="14" t="e">
        <f t="shared" si="3"/>
        <v>#N/A</v>
      </c>
      <c r="J9" s="14">
        <v>0.5</v>
      </c>
      <c r="K9" s="14" t="e">
        <f t="shared" si="4"/>
        <v>#N/A</v>
      </c>
      <c r="L9" s="14">
        <v>0.4</v>
      </c>
      <c r="N9" s="4"/>
      <c r="O9" s="4"/>
      <c r="P9" s="5"/>
      <c r="Q9" s="1"/>
      <c r="W9" s="2"/>
    </row>
    <row r="10" spans="1:23">
      <c r="A10" s="13">
        <v>0.8</v>
      </c>
      <c r="B10" s="13">
        <f t="shared" si="0"/>
        <v>0</v>
      </c>
      <c r="C10" s="13" t="str">
        <f>IF(B10&gt;=$S$2, A10, "")</f>
        <v/>
      </c>
      <c r="D10" s="13" t="str">
        <f>IF(AND(B10=1, B10&gt;=$S$2), A10, "")</f>
        <v/>
      </c>
      <c r="E10" s="13">
        <f>IF(B10&gt;=$S$2, B10, 0)</f>
        <v>0</v>
      </c>
      <c r="F10" s="13">
        <f t="shared" si="1"/>
        <v>0</v>
      </c>
      <c r="G10" s="13">
        <f t="shared" si="2"/>
        <v>0</v>
      </c>
      <c r="H10" s="13" t="str">
        <f>IF(B10&gt;=$T$2, A10, "")</f>
        <v/>
      </c>
      <c r="I10" s="14" t="e">
        <f t="shared" si="3"/>
        <v>#N/A</v>
      </c>
      <c r="J10" s="14">
        <v>0.5</v>
      </c>
      <c r="K10" s="14" t="e">
        <f t="shared" si="4"/>
        <v>#N/A</v>
      </c>
      <c r="L10" s="14">
        <v>0.4</v>
      </c>
      <c r="N10" s="4"/>
      <c r="O10" s="4"/>
      <c r="P10" s="5"/>
      <c r="Q10" s="1"/>
      <c r="R10" s="1" t="s">
        <v>13</v>
      </c>
      <c r="S10" s="2">
        <f>SUM(F:F) / SUM(G:G)</f>
        <v>43.604772751328589</v>
      </c>
      <c r="W10" s="2"/>
    </row>
    <row r="11" spans="1:23">
      <c r="A11" s="13">
        <v>0.9</v>
      </c>
      <c r="B11" s="13">
        <f t="shared" si="0"/>
        <v>0</v>
      </c>
      <c r="C11" s="13" t="str">
        <f>IF(B11&gt;=$S$2, A11, "")</f>
        <v/>
      </c>
      <c r="D11" s="13" t="str">
        <f>IF(AND(B11=1, B11&gt;=$S$2), A11, "")</f>
        <v/>
      </c>
      <c r="E11" s="13">
        <f>IF(B11&gt;=$S$2, B11, 0)</f>
        <v>0</v>
      </c>
      <c r="F11" s="13">
        <f t="shared" si="1"/>
        <v>0</v>
      </c>
      <c r="G11" s="13">
        <f t="shared" si="2"/>
        <v>0</v>
      </c>
      <c r="H11" s="13" t="str">
        <f>IF(B11&gt;=$T$2, A11, "")</f>
        <v/>
      </c>
      <c r="I11" s="14" t="e">
        <f t="shared" si="3"/>
        <v>#N/A</v>
      </c>
      <c r="J11" s="14">
        <v>0.5</v>
      </c>
      <c r="K11" s="14" t="e">
        <f t="shared" si="4"/>
        <v>#N/A</v>
      </c>
      <c r="L11" s="14">
        <v>0.4</v>
      </c>
      <c r="N11" s="4"/>
      <c r="O11" s="4"/>
      <c r="P11" s="5"/>
      <c r="Q11" s="1"/>
      <c r="W11" s="2"/>
    </row>
    <row r="12" spans="1:23">
      <c r="A12" s="13">
        <v>1</v>
      </c>
      <c r="B12" s="13">
        <f t="shared" si="0"/>
        <v>0</v>
      </c>
      <c r="C12" s="13" t="str">
        <f>IF(B12&gt;=$S$2, A12, "")</f>
        <v/>
      </c>
      <c r="D12" s="13" t="str">
        <f>IF(AND(B12=1, B12&gt;=$S$2), A12, "")</f>
        <v/>
      </c>
      <c r="E12" s="13">
        <f>IF(B12&gt;=$S$2, B12, 0)</f>
        <v>0</v>
      </c>
      <c r="F12" s="13">
        <f t="shared" si="1"/>
        <v>0</v>
      </c>
      <c r="G12" s="13">
        <f t="shared" si="2"/>
        <v>0</v>
      </c>
      <c r="H12" s="13" t="str">
        <f>IF(B12&gt;=$T$2, A12, "")</f>
        <v/>
      </c>
      <c r="I12" s="14" t="e">
        <f t="shared" si="3"/>
        <v>#N/A</v>
      </c>
      <c r="J12" s="14">
        <v>0.5</v>
      </c>
      <c r="K12" s="14" t="e">
        <f t="shared" si="4"/>
        <v>#N/A</v>
      </c>
      <c r="L12" s="14">
        <v>0.4</v>
      </c>
      <c r="N12" s="4"/>
      <c r="O12" s="4"/>
      <c r="P12" s="5"/>
      <c r="Q12" s="1"/>
      <c r="R12" s="1" t="s">
        <v>14</v>
      </c>
      <c r="S12" s="2">
        <f>(MIN(H:H) + MAX(H:H)) / 2</f>
        <v>44.150000000000006</v>
      </c>
      <c r="W12" s="2"/>
    </row>
    <row r="13" spans="1:23">
      <c r="A13" s="13">
        <v>1.1000000000000001</v>
      </c>
      <c r="B13" s="13">
        <f t="shared" si="0"/>
        <v>0</v>
      </c>
      <c r="C13" s="13" t="str">
        <f>IF(B13&gt;=$S$2, A13, "")</f>
        <v/>
      </c>
      <c r="D13" s="13" t="str">
        <f>IF(AND(B13=1, B13&gt;=$S$2), A13, "")</f>
        <v/>
      </c>
      <c r="E13" s="13">
        <f>IF(B13&gt;=$S$2, B13, 0)</f>
        <v>0</v>
      </c>
      <c r="F13" s="13">
        <f t="shared" si="1"/>
        <v>0</v>
      </c>
      <c r="G13" s="13">
        <f t="shared" si="2"/>
        <v>0</v>
      </c>
      <c r="H13" s="13" t="str">
        <f>IF(B13&gt;=$T$2, A13, "")</f>
        <v/>
      </c>
      <c r="I13" s="14" t="e">
        <f t="shared" si="3"/>
        <v>#N/A</v>
      </c>
      <c r="J13" s="14">
        <v>0.5</v>
      </c>
      <c r="K13" s="14" t="e">
        <f t="shared" si="4"/>
        <v>#N/A</v>
      </c>
      <c r="L13" s="14">
        <v>0.4</v>
      </c>
      <c r="N13" s="4"/>
      <c r="O13" s="4"/>
      <c r="P13" s="5"/>
      <c r="Q13" s="1"/>
      <c r="W13" s="2"/>
    </row>
    <row r="14" spans="1:23">
      <c r="A14" s="13">
        <v>1.2</v>
      </c>
      <c r="B14" s="13">
        <f t="shared" si="0"/>
        <v>0</v>
      </c>
      <c r="C14" s="13" t="str">
        <f>IF(B14&gt;=$S$2, A14, "")</f>
        <v/>
      </c>
      <c r="D14" s="13" t="str">
        <f>IF(AND(B14=1, B14&gt;=$S$2), A14, "")</f>
        <v/>
      </c>
      <c r="E14" s="13">
        <f>IF(B14&gt;=$S$2, B14, 0)</f>
        <v>0</v>
      </c>
      <c r="F14" s="13">
        <f t="shared" si="1"/>
        <v>0</v>
      </c>
      <c r="G14" s="13">
        <f t="shared" si="2"/>
        <v>0</v>
      </c>
      <c r="H14" s="13" t="str">
        <f>IF(B14&gt;=$T$2, A14, "")</f>
        <v/>
      </c>
      <c r="I14" s="14" t="e">
        <f t="shared" si="3"/>
        <v>#N/A</v>
      </c>
      <c r="J14" s="14">
        <v>0.5</v>
      </c>
      <c r="K14" s="14" t="e">
        <f t="shared" si="4"/>
        <v>#N/A</v>
      </c>
      <c r="L14" s="14">
        <v>0.4</v>
      </c>
      <c r="N14" s="4"/>
      <c r="O14" s="4"/>
      <c r="P14" s="5"/>
      <c r="Q14" s="1"/>
      <c r="W14" s="2"/>
    </row>
    <row r="15" spans="1:23">
      <c r="A15" s="13">
        <v>1.3</v>
      </c>
      <c r="B15" s="13">
        <f t="shared" si="0"/>
        <v>0</v>
      </c>
      <c r="C15" s="13" t="str">
        <f>IF(B15&gt;=$S$2, A15, "")</f>
        <v/>
      </c>
      <c r="D15" s="13" t="str">
        <f>IF(AND(B15=1, B15&gt;=$S$2), A15, "")</f>
        <v/>
      </c>
      <c r="E15" s="13">
        <f>IF(B15&gt;=$S$2, B15, 0)</f>
        <v>0</v>
      </c>
      <c r="F15" s="13">
        <f t="shared" si="1"/>
        <v>0</v>
      </c>
      <c r="G15" s="13">
        <f t="shared" si="2"/>
        <v>0</v>
      </c>
      <c r="H15" s="13" t="str">
        <f>IF(B15&gt;=$T$2, A15, "")</f>
        <v/>
      </c>
      <c r="I15" s="14" t="e">
        <f t="shared" si="3"/>
        <v>#N/A</v>
      </c>
      <c r="J15" s="14">
        <v>0.5</v>
      </c>
      <c r="K15" s="14" t="e">
        <f t="shared" si="4"/>
        <v>#N/A</v>
      </c>
      <c r="L15" s="14">
        <v>0.4</v>
      </c>
      <c r="N15" s="4"/>
      <c r="O15" s="4"/>
      <c r="P15" s="5"/>
      <c r="Q15" s="1"/>
      <c r="R15" s="2"/>
      <c r="S15" s="2"/>
      <c r="T15" s="1"/>
      <c r="U15" s="2"/>
      <c r="V15" s="2"/>
      <c r="W15" s="2"/>
    </row>
    <row r="16" spans="1:23">
      <c r="A16" s="13">
        <v>1.4</v>
      </c>
      <c r="B16" s="13">
        <f t="shared" si="0"/>
        <v>0</v>
      </c>
      <c r="C16" s="13" t="str">
        <f>IF(B16&gt;=$S$2, A16, "")</f>
        <v/>
      </c>
      <c r="D16" s="13" t="str">
        <f>IF(AND(B16=1, B16&gt;=$S$2), A16, "")</f>
        <v/>
      </c>
      <c r="E16" s="13">
        <f>IF(B16&gt;=$S$2, B16, 0)</f>
        <v>0</v>
      </c>
      <c r="F16" s="13">
        <f t="shared" si="1"/>
        <v>0</v>
      </c>
      <c r="G16" s="13">
        <f t="shared" si="2"/>
        <v>0</v>
      </c>
      <c r="H16" s="13" t="str">
        <f>IF(B16&gt;=$T$2, A16, "")</f>
        <v/>
      </c>
      <c r="I16" s="14" t="e">
        <f t="shared" si="3"/>
        <v>#N/A</v>
      </c>
      <c r="J16" s="14">
        <v>0.5</v>
      </c>
      <c r="K16" s="14" t="e">
        <f t="shared" si="4"/>
        <v>#N/A</v>
      </c>
      <c r="L16" s="14">
        <v>0.4</v>
      </c>
      <c r="N16" s="4"/>
      <c r="O16" s="4"/>
      <c r="P16" s="5"/>
      <c r="Q16" s="1"/>
      <c r="R16" s="2"/>
      <c r="S16" s="2"/>
      <c r="T16" s="1"/>
      <c r="U16" s="2"/>
      <c r="V16" s="2"/>
      <c r="W16" s="2"/>
    </row>
    <row r="17" spans="1:23">
      <c r="A17" s="13">
        <v>1.5</v>
      </c>
      <c r="B17" s="13">
        <f t="shared" si="0"/>
        <v>0</v>
      </c>
      <c r="C17" s="13" t="str">
        <f>IF(B17&gt;=$S$2, A17, "")</f>
        <v/>
      </c>
      <c r="D17" s="13" t="str">
        <f>IF(AND(B17=1, B17&gt;=$S$2), A17, "")</f>
        <v/>
      </c>
      <c r="E17" s="13">
        <f>IF(B17&gt;=$S$2, B17, 0)</f>
        <v>0</v>
      </c>
      <c r="F17" s="13">
        <f t="shared" si="1"/>
        <v>0</v>
      </c>
      <c r="G17" s="13">
        <f t="shared" si="2"/>
        <v>0</v>
      </c>
      <c r="H17" s="13" t="str">
        <f>IF(B17&gt;=$T$2, A17, "")</f>
        <v/>
      </c>
      <c r="I17" s="14" t="e">
        <f t="shared" si="3"/>
        <v>#N/A</v>
      </c>
      <c r="J17" s="14">
        <v>0.5</v>
      </c>
      <c r="K17" s="14" t="e">
        <f t="shared" si="4"/>
        <v>#N/A</v>
      </c>
      <c r="L17" s="14">
        <v>0.4</v>
      </c>
      <c r="N17" s="4"/>
      <c r="O17" s="4"/>
      <c r="P17" s="5"/>
      <c r="Q17" s="1"/>
      <c r="R17" s="2"/>
      <c r="S17" s="2"/>
      <c r="T17" s="1"/>
      <c r="U17" s="2"/>
      <c r="V17" s="2"/>
      <c r="W17" s="2"/>
    </row>
    <row r="18" spans="1:23">
      <c r="A18" s="13">
        <v>1.6</v>
      </c>
      <c r="B18" s="13">
        <f t="shared" si="0"/>
        <v>0</v>
      </c>
      <c r="C18" s="13" t="str">
        <f>IF(B18&gt;=$S$2, A18, "")</f>
        <v/>
      </c>
      <c r="D18" s="13" t="str">
        <f>IF(AND(B18=1, B18&gt;=$S$2), A18, "")</f>
        <v/>
      </c>
      <c r="E18" s="13">
        <f>IF(B18&gt;=$S$2, B18, 0)</f>
        <v>0</v>
      </c>
      <c r="F18" s="13">
        <f t="shared" si="1"/>
        <v>0</v>
      </c>
      <c r="G18" s="13">
        <f t="shared" si="2"/>
        <v>0</v>
      </c>
      <c r="H18" s="13" t="str">
        <f>IF(B18&gt;=$T$2, A18, "")</f>
        <v/>
      </c>
      <c r="I18" s="14" t="e">
        <f t="shared" si="3"/>
        <v>#N/A</v>
      </c>
      <c r="J18" s="14">
        <v>0.5</v>
      </c>
      <c r="K18" s="14" t="e">
        <f t="shared" si="4"/>
        <v>#N/A</v>
      </c>
      <c r="L18" s="14">
        <v>0.4</v>
      </c>
      <c r="N18" s="4"/>
      <c r="O18" s="4"/>
      <c r="P18" s="5"/>
      <c r="Q18" s="1"/>
      <c r="R18" s="2"/>
      <c r="S18" s="2"/>
      <c r="T18" s="1"/>
      <c r="U18" s="2"/>
      <c r="V18" s="2"/>
      <c r="W18" s="2"/>
    </row>
    <row r="19" spans="1:23">
      <c r="A19" s="13">
        <v>1.7</v>
      </c>
      <c r="B19" s="13">
        <f t="shared" si="0"/>
        <v>0</v>
      </c>
      <c r="C19" s="13" t="str">
        <f>IF(B19&gt;=$S$2, A19, "")</f>
        <v/>
      </c>
      <c r="D19" s="13" t="str">
        <f>IF(AND(B19=1, B19&gt;=$S$2), A19, "")</f>
        <v/>
      </c>
      <c r="E19" s="13">
        <f>IF(B19&gt;=$S$2, B19, 0)</f>
        <v>0</v>
      </c>
      <c r="F19" s="13">
        <f t="shared" si="1"/>
        <v>0</v>
      </c>
      <c r="G19" s="13">
        <f t="shared" si="2"/>
        <v>0</v>
      </c>
      <c r="H19" s="13" t="str">
        <f>IF(B19&gt;=$T$2, A19, "")</f>
        <v/>
      </c>
      <c r="I19" s="14" t="e">
        <f t="shared" si="3"/>
        <v>#N/A</v>
      </c>
      <c r="J19" s="14">
        <v>0.5</v>
      </c>
      <c r="K19" s="14" t="e">
        <f t="shared" si="4"/>
        <v>#N/A</v>
      </c>
      <c r="L19" s="14">
        <v>0.4</v>
      </c>
      <c r="N19" s="4"/>
      <c r="O19" s="4"/>
      <c r="P19" s="5"/>
      <c r="Q19" s="1"/>
      <c r="R19" s="2"/>
      <c r="S19" s="2"/>
      <c r="T19" s="1"/>
      <c r="U19" s="2"/>
      <c r="V19" s="2"/>
      <c r="W19" s="2"/>
    </row>
    <row r="20" spans="1:23">
      <c r="A20" s="13">
        <v>1.8</v>
      </c>
      <c r="B20" s="13">
        <f t="shared" si="0"/>
        <v>0</v>
      </c>
      <c r="C20" s="13" t="str">
        <f>IF(B20&gt;=$S$2, A20, "")</f>
        <v/>
      </c>
      <c r="D20" s="13" t="str">
        <f>IF(AND(B20=1, B20&gt;=$S$2), A20, "")</f>
        <v/>
      </c>
      <c r="E20" s="13">
        <f>IF(B20&gt;=$S$2, B20, 0)</f>
        <v>0</v>
      </c>
      <c r="F20" s="13">
        <f t="shared" si="1"/>
        <v>0</v>
      </c>
      <c r="G20" s="13">
        <f t="shared" si="2"/>
        <v>0</v>
      </c>
      <c r="H20" s="13" t="str">
        <f>IF(B20&gt;=$T$2, A20, "")</f>
        <v/>
      </c>
      <c r="I20" s="14" t="e">
        <f t="shared" si="3"/>
        <v>#N/A</v>
      </c>
      <c r="J20" s="14">
        <v>0.5</v>
      </c>
      <c r="K20" s="14" t="e">
        <f t="shared" si="4"/>
        <v>#N/A</v>
      </c>
      <c r="L20" s="14">
        <v>0.4</v>
      </c>
      <c r="N20" s="4"/>
      <c r="O20" s="4"/>
      <c r="P20" s="5"/>
      <c r="Q20" s="1"/>
      <c r="R20" s="2"/>
      <c r="S20" s="2"/>
      <c r="T20" s="1"/>
      <c r="U20" s="2"/>
      <c r="V20" s="2"/>
      <c r="W20" s="2"/>
    </row>
    <row r="21" spans="1:23">
      <c r="A21" s="13">
        <v>1.9</v>
      </c>
      <c r="B21" s="13">
        <f t="shared" si="0"/>
        <v>0</v>
      </c>
      <c r="C21" s="13" t="str">
        <f>IF(B21&gt;=$S$2, A21, "")</f>
        <v/>
      </c>
      <c r="D21" s="13" t="str">
        <f>IF(AND(B21=1, B21&gt;=$S$2), A21, "")</f>
        <v/>
      </c>
      <c r="E21" s="13">
        <f>IF(B21&gt;=$S$2, B21, 0)</f>
        <v>0</v>
      </c>
      <c r="F21" s="13">
        <f t="shared" si="1"/>
        <v>0</v>
      </c>
      <c r="G21" s="13">
        <f t="shared" si="2"/>
        <v>0</v>
      </c>
      <c r="H21" s="13" t="str">
        <f>IF(B21&gt;=$T$2, A21, "")</f>
        <v/>
      </c>
      <c r="I21" s="14" t="e">
        <f t="shared" si="3"/>
        <v>#N/A</v>
      </c>
      <c r="J21" s="14">
        <v>0.5</v>
      </c>
      <c r="K21" s="14" t="e">
        <f t="shared" si="4"/>
        <v>#N/A</v>
      </c>
      <c r="L21" s="14">
        <v>0.4</v>
      </c>
      <c r="N21" s="4"/>
      <c r="O21" s="4"/>
      <c r="P21" s="5"/>
      <c r="Q21" s="1"/>
      <c r="R21" s="2"/>
      <c r="S21" s="2"/>
      <c r="T21" s="1"/>
      <c r="U21" s="2"/>
      <c r="V21" s="2"/>
      <c r="W21" s="2"/>
    </row>
    <row r="22" spans="1:23">
      <c r="A22" s="13">
        <v>2</v>
      </c>
      <c r="B22" s="13">
        <f t="shared" si="0"/>
        <v>0</v>
      </c>
      <c r="C22" s="13" t="str">
        <f>IF(B22&gt;=$S$2, A22, "")</f>
        <v/>
      </c>
      <c r="D22" s="13" t="str">
        <f>IF(AND(B22=1, B22&gt;=$S$2), A22, "")</f>
        <v/>
      </c>
      <c r="E22" s="13">
        <f>IF(B22&gt;=$S$2, B22, 0)</f>
        <v>0</v>
      </c>
      <c r="F22" s="13">
        <f t="shared" si="1"/>
        <v>0</v>
      </c>
      <c r="G22" s="13">
        <f t="shared" si="2"/>
        <v>0</v>
      </c>
      <c r="H22" s="13" t="str">
        <f>IF(B22&gt;=$T$2, A22, "")</f>
        <v/>
      </c>
      <c r="I22" s="14" t="e">
        <f t="shared" si="3"/>
        <v>#N/A</v>
      </c>
      <c r="J22" s="14">
        <v>0.5</v>
      </c>
      <c r="K22" s="14" t="e">
        <f t="shared" si="4"/>
        <v>#N/A</v>
      </c>
      <c r="L22" s="14">
        <v>0.4</v>
      </c>
      <c r="N22" s="4"/>
      <c r="O22" s="4"/>
      <c r="P22" s="5"/>
      <c r="Q22" s="1"/>
      <c r="R22" s="2"/>
      <c r="S22" s="2"/>
      <c r="T22" s="1"/>
      <c r="U22" s="2"/>
      <c r="V22" s="2"/>
      <c r="W22" s="2"/>
    </row>
    <row r="23" spans="1:23">
      <c r="A23" s="13">
        <v>2.1</v>
      </c>
      <c r="B23" s="13">
        <f t="shared" si="0"/>
        <v>0</v>
      </c>
      <c r="C23" s="13" t="str">
        <f>IF(B23&gt;=$S$2, A23, "")</f>
        <v/>
      </c>
      <c r="D23" s="13" t="str">
        <f>IF(AND(B23=1, B23&gt;=$S$2), A23, "")</f>
        <v/>
      </c>
      <c r="E23" s="13">
        <f>IF(B23&gt;=$S$2, B23, 0)</f>
        <v>0</v>
      </c>
      <c r="F23" s="13">
        <f t="shared" si="1"/>
        <v>0</v>
      </c>
      <c r="G23" s="13">
        <f t="shared" si="2"/>
        <v>0</v>
      </c>
      <c r="H23" s="13" t="str">
        <f>IF(B23&gt;=$T$2, A23, "")</f>
        <v/>
      </c>
      <c r="I23" s="14" t="e">
        <f t="shared" si="3"/>
        <v>#N/A</v>
      </c>
      <c r="J23" s="14">
        <v>0.5</v>
      </c>
      <c r="K23" s="14" t="e">
        <f t="shared" si="4"/>
        <v>#N/A</v>
      </c>
      <c r="L23" s="14">
        <v>0.4</v>
      </c>
      <c r="N23" s="4"/>
      <c r="O23" s="4"/>
      <c r="P23" s="5"/>
      <c r="Q23" s="1"/>
      <c r="R23" s="2"/>
      <c r="S23" s="2"/>
      <c r="T23" s="1"/>
      <c r="U23" s="2"/>
      <c r="V23" s="2"/>
      <c r="W23" s="2"/>
    </row>
    <row r="24" spans="1:23">
      <c r="A24" s="13">
        <v>2.2000000000000002</v>
      </c>
      <c r="B24" s="13">
        <f t="shared" si="0"/>
        <v>0</v>
      </c>
      <c r="C24" s="13" t="str">
        <f>IF(B24&gt;=$S$2, A24, "")</f>
        <v/>
      </c>
      <c r="D24" s="13" t="str">
        <f>IF(AND(B24=1, B24&gt;=$S$2), A24, "")</f>
        <v/>
      </c>
      <c r="E24" s="13">
        <f>IF(B24&gt;=$S$2, B24, 0)</f>
        <v>0</v>
      </c>
      <c r="F24" s="13">
        <f t="shared" si="1"/>
        <v>0</v>
      </c>
      <c r="G24" s="13">
        <f t="shared" si="2"/>
        <v>0</v>
      </c>
      <c r="H24" s="13" t="str">
        <f>IF(B24&gt;=$T$2, A24, "")</f>
        <v/>
      </c>
      <c r="I24" s="14" t="e">
        <f t="shared" si="3"/>
        <v>#N/A</v>
      </c>
      <c r="J24" s="14">
        <v>0.5</v>
      </c>
      <c r="K24" s="14" t="e">
        <f t="shared" si="4"/>
        <v>#N/A</v>
      </c>
      <c r="L24" s="14">
        <v>0.4</v>
      </c>
      <c r="N24" s="4"/>
      <c r="O24" s="4"/>
      <c r="P24" s="5"/>
      <c r="Q24" s="1"/>
      <c r="R24" s="2"/>
      <c r="S24" s="2"/>
      <c r="T24" s="1"/>
      <c r="U24" s="2"/>
      <c r="V24" s="2"/>
      <c r="W24" s="2"/>
    </row>
    <row r="25" spans="1:23">
      <c r="A25" s="13">
        <v>2.2999999999999998</v>
      </c>
      <c r="B25" s="13">
        <f t="shared" si="0"/>
        <v>0</v>
      </c>
      <c r="C25" s="13" t="str">
        <f>IF(B25&gt;=$S$2, A25, "")</f>
        <v/>
      </c>
      <c r="D25" s="13" t="str">
        <f>IF(AND(B25=1, B25&gt;=$S$2), A25, "")</f>
        <v/>
      </c>
      <c r="E25" s="13">
        <f>IF(B25&gt;=$S$2, B25, 0)</f>
        <v>0</v>
      </c>
      <c r="F25" s="13">
        <f t="shared" si="1"/>
        <v>0</v>
      </c>
      <c r="G25" s="13">
        <f t="shared" si="2"/>
        <v>0</v>
      </c>
      <c r="H25" s="13" t="str">
        <f>IF(B25&gt;=$T$2, A25, "")</f>
        <v/>
      </c>
      <c r="I25" s="14" t="e">
        <f t="shared" si="3"/>
        <v>#N/A</v>
      </c>
      <c r="J25" s="14">
        <v>0.5</v>
      </c>
      <c r="K25" s="14" t="e">
        <f t="shared" si="4"/>
        <v>#N/A</v>
      </c>
      <c r="L25" s="14">
        <v>0.4</v>
      </c>
      <c r="N25" s="4"/>
      <c r="O25" s="4"/>
      <c r="P25" s="5"/>
      <c r="Q25" s="1"/>
      <c r="R25" s="2"/>
      <c r="S25" s="2"/>
      <c r="T25" s="1"/>
      <c r="U25" s="2"/>
      <c r="V25" s="2"/>
      <c r="W25" s="2"/>
    </row>
    <row r="26" spans="1:23">
      <c r="A26" s="13">
        <v>2.4</v>
      </c>
      <c r="B26" s="13">
        <f t="shared" si="0"/>
        <v>0</v>
      </c>
      <c r="C26" s="13" t="str">
        <f>IF(B26&gt;=$S$2, A26, "")</f>
        <v/>
      </c>
      <c r="D26" s="13" t="str">
        <f>IF(AND(B26=1, B26&gt;=$S$2), A26, "")</f>
        <v/>
      </c>
      <c r="E26" s="13">
        <f>IF(B26&gt;=$S$2, B26, 0)</f>
        <v>0</v>
      </c>
      <c r="F26" s="13">
        <f t="shared" si="1"/>
        <v>0</v>
      </c>
      <c r="G26" s="13">
        <f t="shared" si="2"/>
        <v>0</v>
      </c>
      <c r="H26" s="13" t="str">
        <f>IF(B26&gt;=$T$2, A26, "")</f>
        <v/>
      </c>
      <c r="I26" s="14" t="e">
        <f t="shared" si="3"/>
        <v>#N/A</v>
      </c>
      <c r="J26" s="14">
        <v>0.5</v>
      </c>
      <c r="K26" s="14" t="e">
        <f t="shared" si="4"/>
        <v>#N/A</v>
      </c>
      <c r="L26" s="14">
        <v>0.4</v>
      </c>
      <c r="N26" s="4"/>
      <c r="O26" s="4"/>
      <c r="P26" s="5"/>
      <c r="Q26" s="1"/>
      <c r="R26" s="2"/>
      <c r="S26" s="2"/>
      <c r="T26" s="1"/>
      <c r="U26" s="2"/>
      <c r="V26" s="2"/>
      <c r="W26" s="2"/>
    </row>
    <row r="27" spans="1:23">
      <c r="A27" s="13">
        <v>2.5</v>
      </c>
      <c r="B27" s="13">
        <f t="shared" si="0"/>
        <v>0</v>
      </c>
      <c r="C27" s="13" t="str">
        <f>IF(B27&gt;=$S$2, A27, "")</f>
        <v/>
      </c>
      <c r="D27" s="13" t="str">
        <f>IF(AND(B27=1, B27&gt;=$S$2), A27, "")</f>
        <v/>
      </c>
      <c r="E27" s="13">
        <f>IF(B27&gt;=$S$2, B27, 0)</f>
        <v>0</v>
      </c>
      <c r="F27" s="13">
        <f t="shared" si="1"/>
        <v>0</v>
      </c>
      <c r="G27" s="13">
        <f t="shared" si="2"/>
        <v>0</v>
      </c>
      <c r="H27" s="13" t="str">
        <f>IF(B27&gt;=$T$2, A27, "")</f>
        <v/>
      </c>
      <c r="I27" s="14" t="e">
        <f t="shared" si="3"/>
        <v>#N/A</v>
      </c>
      <c r="J27" s="14">
        <v>0.5</v>
      </c>
      <c r="K27" s="14" t="e">
        <f t="shared" si="4"/>
        <v>#N/A</v>
      </c>
      <c r="L27" s="14">
        <v>0.4</v>
      </c>
      <c r="N27" s="4"/>
      <c r="O27" s="4"/>
      <c r="P27" s="5"/>
      <c r="Q27" s="1"/>
      <c r="R27" s="2"/>
      <c r="S27" s="2"/>
      <c r="T27" s="1"/>
      <c r="U27" s="2"/>
      <c r="V27" s="2"/>
      <c r="W27" s="2"/>
    </row>
    <row r="28" spans="1:23">
      <c r="A28" s="13">
        <v>2.6</v>
      </c>
      <c r="B28" s="13">
        <f t="shared" si="0"/>
        <v>0</v>
      </c>
      <c r="C28" s="13" t="str">
        <f>IF(B28&gt;=$S$2, A28, "")</f>
        <v/>
      </c>
      <c r="D28" s="13" t="str">
        <f>IF(AND(B28=1, B28&gt;=$S$2), A28, "")</f>
        <v/>
      </c>
      <c r="E28" s="13">
        <f>IF(B28&gt;=$S$2, B28, 0)</f>
        <v>0</v>
      </c>
      <c r="F28" s="13">
        <f t="shared" si="1"/>
        <v>0</v>
      </c>
      <c r="G28" s="13">
        <f t="shared" si="2"/>
        <v>0</v>
      </c>
      <c r="H28" s="13" t="str">
        <f>IF(B28&gt;=$T$2, A28, "")</f>
        <v/>
      </c>
      <c r="I28" s="14" t="e">
        <f t="shared" si="3"/>
        <v>#N/A</v>
      </c>
      <c r="J28" s="14">
        <v>0.5</v>
      </c>
      <c r="K28" s="14" t="e">
        <f t="shared" si="4"/>
        <v>#N/A</v>
      </c>
      <c r="L28" s="14">
        <v>0.4</v>
      </c>
      <c r="N28" s="4"/>
      <c r="O28" s="4"/>
      <c r="P28" s="5"/>
      <c r="Q28" s="1"/>
      <c r="R28" s="2"/>
      <c r="S28" s="2"/>
      <c r="T28" s="1"/>
      <c r="U28" s="2"/>
      <c r="V28" s="2"/>
      <c r="W28" s="2"/>
    </row>
    <row r="29" spans="1:23">
      <c r="A29" s="13">
        <v>2.7</v>
      </c>
      <c r="B29" s="13">
        <f t="shared" si="0"/>
        <v>0</v>
      </c>
      <c r="C29" s="13" t="str">
        <f>IF(B29&gt;=$S$2, A29, "")</f>
        <v/>
      </c>
      <c r="D29" s="13" t="str">
        <f>IF(AND(B29=1, B29&gt;=$S$2), A29, "")</f>
        <v/>
      </c>
      <c r="E29" s="13">
        <f>IF(B29&gt;=$S$2, B29, 0)</f>
        <v>0</v>
      </c>
      <c r="F29" s="13">
        <f t="shared" si="1"/>
        <v>0</v>
      </c>
      <c r="G29" s="13">
        <f t="shared" si="2"/>
        <v>0</v>
      </c>
      <c r="H29" s="13" t="str">
        <f>IF(B29&gt;=$T$2, A29, "")</f>
        <v/>
      </c>
      <c r="I29" s="14" t="e">
        <f t="shared" si="3"/>
        <v>#N/A</v>
      </c>
      <c r="J29" s="14">
        <v>0.5</v>
      </c>
      <c r="K29" s="14" t="e">
        <f t="shared" si="4"/>
        <v>#N/A</v>
      </c>
      <c r="L29" s="14">
        <v>0.4</v>
      </c>
      <c r="N29" s="4"/>
      <c r="O29" s="4"/>
      <c r="P29" s="5"/>
      <c r="Q29" s="1"/>
      <c r="R29" s="2"/>
      <c r="S29" s="2"/>
      <c r="T29" s="1"/>
      <c r="U29" s="2"/>
      <c r="V29" s="2"/>
      <c r="W29" s="2"/>
    </row>
    <row r="30" spans="1:23">
      <c r="A30" s="13">
        <v>2.8</v>
      </c>
      <c r="B30" s="13">
        <f t="shared" si="0"/>
        <v>0</v>
      </c>
      <c r="C30" s="13" t="str">
        <f>IF(B30&gt;=$S$2, A30, "")</f>
        <v/>
      </c>
      <c r="D30" s="13" t="str">
        <f>IF(AND(B30=1, B30&gt;=$S$2), A30, "")</f>
        <v/>
      </c>
      <c r="E30" s="13">
        <f>IF(B30&gt;=$S$2, B30, 0)</f>
        <v>0</v>
      </c>
      <c r="F30" s="13">
        <f t="shared" si="1"/>
        <v>0</v>
      </c>
      <c r="G30" s="13">
        <f t="shared" si="2"/>
        <v>0</v>
      </c>
      <c r="H30" s="13" t="str">
        <f>IF(B30&gt;=$T$2, A30, "")</f>
        <v/>
      </c>
      <c r="I30" s="14" t="e">
        <f t="shared" si="3"/>
        <v>#N/A</v>
      </c>
      <c r="J30" s="14">
        <v>0.5</v>
      </c>
      <c r="K30" s="14" t="e">
        <f t="shared" si="4"/>
        <v>#N/A</v>
      </c>
      <c r="L30" s="14">
        <v>0.4</v>
      </c>
      <c r="N30" s="4"/>
      <c r="O30" s="4"/>
      <c r="P30" s="5"/>
      <c r="Q30" s="1"/>
      <c r="R30" s="2"/>
      <c r="S30" s="2"/>
      <c r="T30" s="1"/>
      <c r="U30" s="2"/>
      <c r="V30" s="2"/>
      <c r="W30" s="2"/>
    </row>
    <row r="31" spans="1:23">
      <c r="A31" s="13">
        <v>2.9</v>
      </c>
      <c r="B31" s="13">
        <f t="shared" si="0"/>
        <v>0</v>
      </c>
      <c r="C31" s="13" t="str">
        <f>IF(B31&gt;=$S$2, A31, "")</f>
        <v/>
      </c>
      <c r="D31" s="13" t="str">
        <f>IF(AND(B31=1, B31&gt;=$S$2), A31, "")</f>
        <v/>
      </c>
      <c r="E31" s="13">
        <f>IF(B31&gt;=$S$2, B31, 0)</f>
        <v>0</v>
      </c>
      <c r="F31" s="13">
        <f t="shared" si="1"/>
        <v>0</v>
      </c>
      <c r="G31" s="13">
        <f t="shared" si="2"/>
        <v>0</v>
      </c>
      <c r="H31" s="13" t="str">
        <f>IF(B31&gt;=$T$2, A31, "")</f>
        <v/>
      </c>
      <c r="I31" s="14" t="e">
        <f t="shared" si="3"/>
        <v>#N/A</v>
      </c>
      <c r="J31" s="14">
        <v>0.5</v>
      </c>
      <c r="K31" s="14" t="e">
        <f t="shared" si="4"/>
        <v>#N/A</v>
      </c>
      <c r="L31" s="14">
        <v>0.4</v>
      </c>
      <c r="N31" s="4"/>
      <c r="O31" s="4"/>
      <c r="P31" s="5"/>
      <c r="Q31" s="1"/>
      <c r="R31" s="2"/>
      <c r="S31" s="2"/>
      <c r="T31" s="1"/>
      <c r="U31" s="2"/>
      <c r="V31" s="2"/>
      <c r="W31" s="2"/>
    </row>
    <row r="32" spans="1:23">
      <c r="A32" s="13">
        <v>3</v>
      </c>
      <c r="B32" s="13">
        <f t="shared" si="0"/>
        <v>0</v>
      </c>
      <c r="C32" s="13" t="str">
        <f>IF(B32&gt;=$S$2, A32, "")</f>
        <v/>
      </c>
      <c r="D32" s="13" t="str">
        <f>IF(AND(B32=1, B32&gt;=$S$2), A32, "")</f>
        <v/>
      </c>
      <c r="E32" s="13">
        <f>IF(B32&gt;=$S$2, B32, 0)</f>
        <v>0</v>
      </c>
      <c r="F32" s="13">
        <f t="shared" si="1"/>
        <v>0</v>
      </c>
      <c r="G32" s="13">
        <f t="shared" si="2"/>
        <v>0</v>
      </c>
      <c r="H32" s="13" t="str">
        <f>IF(B32&gt;=$T$2, A32, "")</f>
        <v/>
      </c>
      <c r="I32" s="14" t="e">
        <f t="shared" si="3"/>
        <v>#N/A</v>
      </c>
      <c r="J32" s="14">
        <v>0.5</v>
      </c>
      <c r="K32" s="14" t="e">
        <f t="shared" si="4"/>
        <v>#N/A</v>
      </c>
      <c r="L32" s="14">
        <v>0.4</v>
      </c>
      <c r="N32" s="4"/>
      <c r="O32" s="4"/>
      <c r="P32" s="5"/>
      <c r="Q32" s="1"/>
      <c r="R32" s="2"/>
      <c r="S32" s="2"/>
      <c r="T32" s="1"/>
      <c r="U32" s="2"/>
      <c r="V32" s="2"/>
      <c r="W32" s="2"/>
    </row>
    <row r="33" spans="1:23">
      <c r="A33" s="13">
        <v>3.1</v>
      </c>
      <c r="B33" s="13">
        <f t="shared" si="0"/>
        <v>0</v>
      </c>
      <c r="C33" s="13" t="str">
        <f>IF(B33&gt;=$S$2, A33, "")</f>
        <v/>
      </c>
      <c r="D33" s="13" t="str">
        <f>IF(AND(B33=1, B33&gt;=$S$2), A33, "")</f>
        <v/>
      </c>
      <c r="E33" s="13">
        <f>IF(B33&gt;=$S$2, B33, 0)</f>
        <v>0</v>
      </c>
      <c r="F33" s="13">
        <f t="shared" si="1"/>
        <v>0</v>
      </c>
      <c r="G33" s="13">
        <f t="shared" si="2"/>
        <v>0</v>
      </c>
      <c r="H33" s="13" t="str">
        <f>IF(B33&gt;=$T$2, A33, "")</f>
        <v/>
      </c>
      <c r="I33" s="14" t="e">
        <f t="shared" si="3"/>
        <v>#N/A</v>
      </c>
      <c r="J33" s="14">
        <v>0.5</v>
      </c>
      <c r="K33" s="14" t="e">
        <f t="shared" si="4"/>
        <v>#N/A</v>
      </c>
      <c r="L33" s="14">
        <v>0.4</v>
      </c>
      <c r="N33" s="4"/>
      <c r="O33" s="4"/>
      <c r="P33" s="5"/>
      <c r="Q33" s="1"/>
      <c r="R33" s="2"/>
      <c r="S33" s="2"/>
      <c r="T33" s="1"/>
      <c r="U33" s="2"/>
      <c r="V33" s="2"/>
      <c r="W33" s="2"/>
    </row>
    <row r="34" spans="1:23">
      <c r="A34" s="13">
        <v>3.2</v>
      </c>
      <c r="B34" s="13">
        <f t="shared" si="0"/>
        <v>0</v>
      </c>
      <c r="C34" s="13" t="str">
        <f>IF(B34&gt;=$S$2, A34, "")</f>
        <v/>
      </c>
      <c r="D34" s="13" t="str">
        <f>IF(AND(B34=1, B34&gt;=$S$2), A34, "")</f>
        <v/>
      </c>
      <c r="E34" s="13">
        <f>IF(B34&gt;=$S$2, B34, 0)</f>
        <v>0</v>
      </c>
      <c r="F34" s="13">
        <f t="shared" si="1"/>
        <v>0</v>
      </c>
      <c r="G34" s="13">
        <f t="shared" si="2"/>
        <v>0</v>
      </c>
      <c r="H34" s="13" t="str">
        <f>IF(B34&gt;=$T$2, A34, "")</f>
        <v/>
      </c>
      <c r="I34" s="14" t="e">
        <f t="shared" si="3"/>
        <v>#N/A</v>
      </c>
      <c r="J34" s="14">
        <v>0.5</v>
      </c>
      <c r="K34" s="14" t="e">
        <f t="shared" si="4"/>
        <v>#N/A</v>
      </c>
      <c r="L34" s="14">
        <v>0.4</v>
      </c>
      <c r="N34" s="4"/>
      <c r="O34" s="4"/>
      <c r="P34" s="5"/>
      <c r="Q34" s="1"/>
      <c r="R34" s="2"/>
      <c r="S34" s="2"/>
      <c r="T34" s="1"/>
      <c r="U34" s="2"/>
      <c r="V34" s="2"/>
      <c r="W34" s="2"/>
    </row>
    <row r="35" spans="1:23">
      <c r="A35" s="13">
        <v>3.3</v>
      </c>
      <c r="B35" s="13">
        <f t="shared" si="0"/>
        <v>0</v>
      </c>
      <c r="C35" s="13" t="str">
        <f>IF(B35&gt;=$S$2, A35, "")</f>
        <v/>
      </c>
      <c r="D35" s="13" t="str">
        <f>IF(AND(B35=1, B35&gt;=$S$2), A35, "")</f>
        <v/>
      </c>
      <c r="E35" s="13">
        <f>IF(B35&gt;=$S$2, B35, 0)</f>
        <v>0</v>
      </c>
      <c r="F35" s="13">
        <f t="shared" si="1"/>
        <v>0</v>
      </c>
      <c r="G35" s="13">
        <f t="shared" si="2"/>
        <v>0</v>
      </c>
      <c r="H35" s="13" t="str">
        <f>IF(B35&gt;=$T$2, A35, "")</f>
        <v/>
      </c>
      <c r="I35" s="14" t="e">
        <f t="shared" si="3"/>
        <v>#N/A</v>
      </c>
      <c r="J35" s="14">
        <v>0.5</v>
      </c>
      <c r="K35" s="14" t="e">
        <f t="shared" si="4"/>
        <v>#N/A</v>
      </c>
      <c r="L35" s="14">
        <v>0.4</v>
      </c>
      <c r="N35" s="4"/>
      <c r="O35" s="4"/>
      <c r="P35" s="5"/>
      <c r="Q35" s="1"/>
      <c r="R35" s="2"/>
      <c r="S35" s="2"/>
      <c r="T35" s="1"/>
      <c r="U35" s="2"/>
      <c r="V35" s="2"/>
      <c r="W35" s="2"/>
    </row>
    <row r="36" spans="1:23">
      <c r="A36" s="13">
        <v>3.4</v>
      </c>
      <c r="B36" s="13">
        <f t="shared" si="0"/>
        <v>0</v>
      </c>
      <c r="C36" s="13" t="str">
        <f>IF(B36&gt;=$S$2, A36, "")</f>
        <v/>
      </c>
      <c r="D36" s="13" t="str">
        <f>IF(AND(B36=1, B36&gt;=$S$2), A36, "")</f>
        <v/>
      </c>
      <c r="E36" s="13">
        <f>IF(B36&gt;=$S$2, B36, 0)</f>
        <v>0</v>
      </c>
      <c r="F36" s="13">
        <f t="shared" si="1"/>
        <v>0</v>
      </c>
      <c r="G36" s="13">
        <f t="shared" si="2"/>
        <v>0</v>
      </c>
      <c r="H36" s="13" t="str">
        <f>IF(B36&gt;=$T$2, A36, "")</f>
        <v/>
      </c>
      <c r="I36" s="14" t="e">
        <f t="shared" si="3"/>
        <v>#N/A</v>
      </c>
      <c r="J36" s="14">
        <v>0.5</v>
      </c>
      <c r="K36" s="14" t="e">
        <f t="shared" si="4"/>
        <v>#N/A</v>
      </c>
      <c r="L36" s="14">
        <v>0.4</v>
      </c>
      <c r="N36" s="4"/>
      <c r="O36" s="4"/>
      <c r="P36" s="5"/>
      <c r="Q36" s="1"/>
      <c r="R36" s="2"/>
      <c r="S36" s="2"/>
      <c r="T36" s="1"/>
      <c r="U36" s="2"/>
      <c r="V36" s="2"/>
      <c r="W36" s="2"/>
    </row>
    <row r="37" spans="1:23">
      <c r="A37" s="13">
        <v>3.5</v>
      </c>
      <c r="B37" s="13">
        <f t="shared" si="0"/>
        <v>0</v>
      </c>
      <c r="C37" s="13" t="str">
        <f>IF(B37&gt;=$S$2, A37, "")</f>
        <v/>
      </c>
      <c r="D37" s="13" t="str">
        <f>IF(AND(B37=1, B37&gt;=$S$2), A37, "")</f>
        <v/>
      </c>
      <c r="E37" s="13">
        <f>IF(B37&gt;=$S$2, B37, 0)</f>
        <v>0</v>
      </c>
      <c r="F37" s="13">
        <f t="shared" si="1"/>
        <v>0</v>
      </c>
      <c r="G37" s="13">
        <f t="shared" si="2"/>
        <v>0</v>
      </c>
      <c r="H37" s="13" t="str">
        <f>IF(B37&gt;=$T$2, A37, "")</f>
        <v/>
      </c>
      <c r="I37" s="14" t="e">
        <f t="shared" si="3"/>
        <v>#N/A</v>
      </c>
      <c r="J37" s="14">
        <v>0.5</v>
      </c>
      <c r="K37" s="14" t="e">
        <f t="shared" si="4"/>
        <v>#N/A</v>
      </c>
      <c r="L37" s="14">
        <v>0.4</v>
      </c>
      <c r="N37" s="4"/>
      <c r="O37" s="4"/>
      <c r="P37" s="5"/>
      <c r="Q37" s="1"/>
      <c r="R37" s="2"/>
      <c r="S37" s="2"/>
      <c r="T37" s="1"/>
      <c r="U37" s="2"/>
      <c r="V37" s="2"/>
      <c r="W37" s="2"/>
    </row>
    <row r="38" spans="1:23">
      <c r="A38" s="13">
        <v>3.6</v>
      </c>
      <c r="B38" s="13">
        <f t="shared" si="0"/>
        <v>0</v>
      </c>
      <c r="C38" s="13" t="str">
        <f>IF(B38&gt;=$S$2, A38, "")</f>
        <v/>
      </c>
      <c r="D38" s="13" t="str">
        <f>IF(AND(B38=1, B38&gt;=$S$2), A38, "")</f>
        <v/>
      </c>
      <c r="E38" s="13">
        <f>IF(B38&gt;=$S$2, B38, 0)</f>
        <v>0</v>
      </c>
      <c r="F38" s="13">
        <f t="shared" si="1"/>
        <v>0</v>
      </c>
      <c r="G38" s="13">
        <f t="shared" si="2"/>
        <v>0</v>
      </c>
      <c r="H38" s="13" t="str">
        <f>IF(B38&gt;=$T$2, A38, "")</f>
        <v/>
      </c>
      <c r="I38" s="14" t="e">
        <f t="shared" si="3"/>
        <v>#N/A</v>
      </c>
      <c r="J38" s="14">
        <v>0.5</v>
      </c>
      <c r="K38" s="14" t="e">
        <f t="shared" si="4"/>
        <v>#N/A</v>
      </c>
      <c r="L38" s="14">
        <v>0.4</v>
      </c>
      <c r="N38" s="4"/>
      <c r="O38" s="4"/>
      <c r="P38" s="5"/>
      <c r="Q38" s="1"/>
      <c r="R38" s="2"/>
      <c r="S38" s="2"/>
      <c r="T38" s="1"/>
      <c r="U38" s="2"/>
      <c r="V38" s="2"/>
      <c r="W38" s="2"/>
    </row>
    <row r="39" spans="1:23">
      <c r="A39" s="13">
        <v>3.7</v>
      </c>
      <c r="B39" s="13">
        <f t="shared" si="0"/>
        <v>0</v>
      </c>
      <c r="C39" s="13" t="str">
        <f>IF(B39&gt;=$S$2, A39, "")</f>
        <v/>
      </c>
      <c r="D39" s="13" t="str">
        <f>IF(AND(B39=1, B39&gt;=$S$2), A39, "")</f>
        <v/>
      </c>
      <c r="E39" s="13">
        <f>IF(B39&gt;=$S$2, B39, 0)</f>
        <v>0</v>
      </c>
      <c r="F39" s="13">
        <f t="shared" si="1"/>
        <v>0</v>
      </c>
      <c r="G39" s="13">
        <f t="shared" si="2"/>
        <v>0</v>
      </c>
      <c r="H39" s="13" t="str">
        <f>IF(B39&gt;=$T$2, A39, "")</f>
        <v/>
      </c>
      <c r="I39" s="14" t="e">
        <f t="shared" si="3"/>
        <v>#N/A</v>
      </c>
      <c r="J39" s="14">
        <v>0.5</v>
      </c>
      <c r="K39" s="14" t="e">
        <f t="shared" si="4"/>
        <v>#N/A</v>
      </c>
      <c r="L39" s="14">
        <v>0.4</v>
      </c>
      <c r="N39" s="4"/>
      <c r="O39" s="4"/>
      <c r="P39" s="5"/>
      <c r="Q39" s="1"/>
      <c r="R39" s="2"/>
      <c r="S39" s="2"/>
      <c r="T39" s="1"/>
      <c r="U39" s="2"/>
      <c r="V39" s="2"/>
      <c r="W39" s="2"/>
    </row>
    <row r="40" spans="1:23">
      <c r="A40" s="13">
        <v>3.8</v>
      </c>
      <c r="B40" s="13">
        <f t="shared" si="0"/>
        <v>0</v>
      </c>
      <c r="C40" s="13" t="str">
        <f>IF(B40&gt;=$S$2, A40, "")</f>
        <v/>
      </c>
      <c r="D40" s="13" t="str">
        <f>IF(AND(B40=1, B40&gt;=$S$2), A40, "")</f>
        <v/>
      </c>
      <c r="E40" s="13">
        <f>IF(B40&gt;=$S$2, B40, 0)</f>
        <v>0</v>
      </c>
      <c r="F40" s="13">
        <f t="shared" si="1"/>
        <v>0</v>
      </c>
      <c r="G40" s="13">
        <f t="shared" si="2"/>
        <v>0</v>
      </c>
      <c r="H40" s="13" t="str">
        <f>IF(B40&gt;=$T$2, A40, "")</f>
        <v/>
      </c>
      <c r="I40" s="14" t="e">
        <f t="shared" si="3"/>
        <v>#N/A</v>
      </c>
      <c r="J40" s="14">
        <v>0.5</v>
      </c>
      <c r="K40" s="14" t="e">
        <f t="shared" si="4"/>
        <v>#N/A</v>
      </c>
      <c r="L40" s="14">
        <v>0.4</v>
      </c>
      <c r="N40" s="4"/>
      <c r="O40" s="4"/>
      <c r="P40" s="5"/>
      <c r="Q40" s="1"/>
      <c r="R40" s="2"/>
      <c r="S40" s="2"/>
      <c r="T40" s="1"/>
      <c r="U40" s="2"/>
      <c r="V40" s="2"/>
      <c r="W40" s="2"/>
    </row>
    <row r="41" spans="1:23">
      <c r="A41" s="13">
        <v>3.9</v>
      </c>
      <c r="B41" s="13">
        <f t="shared" si="0"/>
        <v>0</v>
      </c>
      <c r="C41" s="13" t="str">
        <f>IF(B41&gt;=$S$2, A41, "")</f>
        <v/>
      </c>
      <c r="D41" s="13" t="str">
        <f>IF(AND(B41=1, B41&gt;=$S$2), A41, "")</f>
        <v/>
      </c>
      <c r="E41" s="13">
        <f>IF(B41&gt;=$S$2, B41, 0)</f>
        <v>0</v>
      </c>
      <c r="F41" s="13">
        <f t="shared" si="1"/>
        <v>0</v>
      </c>
      <c r="G41" s="13">
        <f t="shared" si="2"/>
        <v>0</v>
      </c>
      <c r="H41" s="13" t="str">
        <f>IF(B41&gt;=$T$2, A41, "")</f>
        <v/>
      </c>
      <c r="I41" s="14" t="e">
        <f t="shared" si="3"/>
        <v>#N/A</v>
      </c>
      <c r="J41" s="14">
        <v>0.5</v>
      </c>
      <c r="K41" s="14" t="e">
        <f t="shared" si="4"/>
        <v>#N/A</v>
      </c>
      <c r="L41" s="14">
        <v>0.4</v>
      </c>
      <c r="N41" s="4"/>
      <c r="O41" s="4"/>
      <c r="P41" s="5"/>
      <c r="Q41" s="1"/>
      <c r="R41" s="2"/>
      <c r="S41" s="2"/>
      <c r="T41" s="1"/>
      <c r="U41" s="2"/>
      <c r="V41" s="2"/>
      <c r="W41" s="2"/>
    </row>
    <row r="42" spans="1:23">
      <c r="A42" s="13">
        <v>4</v>
      </c>
      <c r="B42" s="13">
        <f t="shared" si="0"/>
        <v>0</v>
      </c>
      <c r="C42" s="13" t="str">
        <f>IF(B42&gt;=$S$2, A42, "")</f>
        <v/>
      </c>
      <c r="D42" s="13" t="str">
        <f>IF(AND(B42=1, B42&gt;=$S$2), A42, "")</f>
        <v/>
      </c>
      <c r="E42" s="13">
        <f>IF(B42&gt;=$S$2, B42, 0)</f>
        <v>0</v>
      </c>
      <c r="F42" s="13">
        <f t="shared" si="1"/>
        <v>0</v>
      </c>
      <c r="G42" s="13">
        <f t="shared" si="2"/>
        <v>0</v>
      </c>
      <c r="H42" s="13" t="str">
        <f>IF(B42&gt;=$T$2, A42, "")</f>
        <v/>
      </c>
      <c r="I42" s="14" t="e">
        <f t="shared" si="3"/>
        <v>#N/A</v>
      </c>
      <c r="J42" s="14">
        <v>0.5</v>
      </c>
      <c r="K42" s="14" t="e">
        <f t="shared" si="4"/>
        <v>#N/A</v>
      </c>
      <c r="L42" s="14">
        <v>0.4</v>
      </c>
      <c r="N42" s="4"/>
      <c r="O42" s="4"/>
      <c r="P42" s="5"/>
      <c r="Q42" s="1"/>
      <c r="R42" s="2"/>
      <c r="S42" s="2"/>
      <c r="T42" s="1"/>
      <c r="U42" s="2"/>
      <c r="V42" s="2"/>
      <c r="W42" s="2"/>
    </row>
    <row r="43" spans="1:23">
      <c r="A43" s="13">
        <v>4.0999999999999996</v>
      </c>
      <c r="B43" s="13">
        <f t="shared" si="0"/>
        <v>0</v>
      </c>
      <c r="C43" s="13" t="str">
        <f>IF(B43&gt;=$S$2, A43, "")</f>
        <v/>
      </c>
      <c r="D43" s="13" t="str">
        <f>IF(AND(B43=1, B43&gt;=$S$2), A43, "")</f>
        <v/>
      </c>
      <c r="E43" s="13">
        <f>IF(B43&gt;=$S$2, B43, 0)</f>
        <v>0</v>
      </c>
      <c r="F43" s="13">
        <f t="shared" si="1"/>
        <v>0</v>
      </c>
      <c r="G43" s="13">
        <f t="shared" si="2"/>
        <v>0</v>
      </c>
      <c r="H43" s="13" t="str">
        <f>IF(B43&gt;=$T$2, A43, "")</f>
        <v/>
      </c>
      <c r="I43" s="14" t="e">
        <f t="shared" si="3"/>
        <v>#N/A</v>
      </c>
      <c r="J43" s="14">
        <v>0.5</v>
      </c>
      <c r="K43" s="14" t="e">
        <f t="shared" si="4"/>
        <v>#N/A</v>
      </c>
      <c r="L43" s="14">
        <v>0.4</v>
      </c>
      <c r="N43" s="4"/>
      <c r="O43" s="4"/>
      <c r="P43" s="5"/>
      <c r="Q43" s="1"/>
      <c r="R43" s="2"/>
      <c r="S43" s="2"/>
      <c r="T43" s="1"/>
      <c r="U43" s="2"/>
      <c r="V43" s="2"/>
      <c r="W43" s="2"/>
    </row>
    <row r="44" spans="1:23">
      <c r="A44" s="13">
        <v>4.2</v>
      </c>
      <c r="B44" s="13">
        <f t="shared" si="0"/>
        <v>0</v>
      </c>
      <c r="C44" s="13" t="str">
        <f>IF(B44&gt;=$S$2, A44, "")</f>
        <v/>
      </c>
      <c r="D44" s="13" t="str">
        <f>IF(AND(B44=1, B44&gt;=$S$2), A44, "")</f>
        <v/>
      </c>
      <c r="E44" s="13">
        <f>IF(B44&gt;=$S$2, B44, 0)</f>
        <v>0</v>
      </c>
      <c r="F44" s="13">
        <f t="shared" si="1"/>
        <v>0</v>
      </c>
      <c r="G44" s="13">
        <f t="shared" si="2"/>
        <v>0</v>
      </c>
      <c r="H44" s="13" t="str">
        <f>IF(B44&gt;=$T$2, A44, "")</f>
        <v/>
      </c>
      <c r="I44" s="14" t="e">
        <f t="shared" si="3"/>
        <v>#N/A</v>
      </c>
      <c r="J44" s="14">
        <v>0.5</v>
      </c>
      <c r="K44" s="14" t="e">
        <f t="shared" si="4"/>
        <v>#N/A</v>
      </c>
      <c r="L44" s="14">
        <v>0.4</v>
      </c>
      <c r="N44" s="4"/>
      <c r="O44" s="4"/>
      <c r="P44" s="5"/>
      <c r="Q44" s="1"/>
      <c r="R44" s="2"/>
      <c r="S44" s="2"/>
      <c r="T44" s="1"/>
      <c r="U44" s="2"/>
      <c r="V44" s="2"/>
      <c r="W44" s="2"/>
    </row>
    <row r="45" spans="1:23">
      <c r="A45" s="13">
        <v>4.3</v>
      </c>
      <c r="B45" s="13">
        <f t="shared" si="0"/>
        <v>0</v>
      </c>
      <c r="C45" s="13" t="str">
        <f>IF(B45&gt;=$S$2, A45, "")</f>
        <v/>
      </c>
      <c r="D45" s="13" t="str">
        <f>IF(AND(B45=1, B45&gt;=$S$2), A45, "")</f>
        <v/>
      </c>
      <c r="E45" s="13">
        <f>IF(B45&gt;=$S$2, B45, 0)</f>
        <v>0</v>
      </c>
      <c r="F45" s="13">
        <f t="shared" si="1"/>
        <v>0</v>
      </c>
      <c r="G45" s="13">
        <f t="shared" si="2"/>
        <v>0</v>
      </c>
      <c r="H45" s="13" t="str">
        <f>IF(B45&gt;=$T$2, A45, "")</f>
        <v/>
      </c>
      <c r="I45" s="14" t="e">
        <f t="shared" si="3"/>
        <v>#N/A</v>
      </c>
      <c r="J45" s="14">
        <v>0.5</v>
      </c>
      <c r="K45" s="14" t="e">
        <f t="shared" si="4"/>
        <v>#N/A</v>
      </c>
      <c r="L45" s="14">
        <v>0.4</v>
      </c>
      <c r="N45" s="4"/>
      <c r="O45" s="4"/>
      <c r="P45" s="5"/>
      <c r="Q45" s="1"/>
      <c r="R45" s="2"/>
      <c r="S45" s="2"/>
      <c r="T45" s="1"/>
      <c r="U45" s="2"/>
      <c r="V45" s="2"/>
      <c r="W45" s="2"/>
    </row>
    <row r="46" spans="1:23">
      <c r="A46" s="13">
        <v>4.4000000000000004</v>
      </c>
      <c r="B46" s="13">
        <f t="shared" si="0"/>
        <v>0</v>
      </c>
      <c r="C46" s="13" t="str">
        <f>IF(B46&gt;=$S$2, A46, "")</f>
        <v/>
      </c>
      <c r="D46" s="13" t="str">
        <f>IF(AND(B46=1, B46&gt;=$S$2), A46, "")</f>
        <v/>
      </c>
      <c r="E46" s="13">
        <f>IF(B46&gt;=$S$2, B46, 0)</f>
        <v>0</v>
      </c>
      <c r="F46" s="13">
        <f t="shared" si="1"/>
        <v>0</v>
      </c>
      <c r="G46" s="13">
        <f t="shared" si="2"/>
        <v>0</v>
      </c>
      <c r="H46" s="13" t="str">
        <f>IF(B46&gt;=$T$2, A46, "")</f>
        <v/>
      </c>
      <c r="I46" s="14" t="e">
        <f t="shared" si="3"/>
        <v>#N/A</v>
      </c>
      <c r="J46" s="14">
        <v>0.5</v>
      </c>
      <c r="K46" s="14" t="e">
        <f t="shared" si="4"/>
        <v>#N/A</v>
      </c>
      <c r="L46" s="14">
        <v>0.4</v>
      </c>
      <c r="N46" s="4"/>
      <c r="O46" s="4"/>
      <c r="P46" s="5"/>
      <c r="Q46" s="1"/>
      <c r="R46" s="2"/>
      <c r="S46" s="2"/>
      <c r="T46" s="1"/>
      <c r="U46" s="2"/>
      <c r="V46" s="2"/>
      <c r="W46" s="2"/>
    </row>
    <row r="47" spans="1:23">
      <c r="A47" s="13">
        <v>4.5</v>
      </c>
      <c r="B47" s="13">
        <f t="shared" si="0"/>
        <v>0</v>
      </c>
      <c r="C47" s="13" t="str">
        <f>IF(B47&gt;=$S$2, A47, "")</f>
        <v/>
      </c>
      <c r="D47" s="13" t="str">
        <f>IF(AND(B47=1, B47&gt;=$S$2), A47, "")</f>
        <v/>
      </c>
      <c r="E47" s="13">
        <f>IF(B47&gt;=$S$2, B47, 0)</f>
        <v>0</v>
      </c>
      <c r="F47" s="13">
        <f t="shared" si="1"/>
        <v>0</v>
      </c>
      <c r="G47" s="13">
        <f t="shared" si="2"/>
        <v>0</v>
      </c>
      <c r="H47" s="13" t="str">
        <f>IF(B47&gt;=$T$2, A47, "")</f>
        <v/>
      </c>
      <c r="I47" s="14" t="e">
        <f t="shared" si="3"/>
        <v>#N/A</v>
      </c>
      <c r="J47" s="14">
        <v>0.5</v>
      </c>
      <c r="K47" s="14" t="e">
        <f t="shared" si="4"/>
        <v>#N/A</v>
      </c>
      <c r="L47" s="14">
        <v>0.4</v>
      </c>
      <c r="N47" s="4"/>
      <c r="O47" s="4"/>
      <c r="P47" s="5"/>
      <c r="Q47" s="1"/>
      <c r="R47" s="2"/>
      <c r="S47" s="2"/>
      <c r="T47" s="1"/>
      <c r="U47" s="2"/>
      <c r="V47" s="2"/>
      <c r="W47" s="2"/>
    </row>
    <row r="48" spans="1:23">
      <c r="A48" s="13">
        <v>4.5999999999999996</v>
      </c>
      <c r="B48" s="13">
        <f t="shared" si="0"/>
        <v>0</v>
      </c>
      <c r="C48" s="13" t="str">
        <f>IF(B48&gt;=$S$2, A48, "")</f>
        <v/>
      </c>
      <c r="D48" s="13" t="str">
        <f>IF(AND(B48=1, B48&gt;=$S$2), A48, "")</f>
        <v/>
      </c>
      <c r="E48" s="13">
        <f>IF(B48&gt;=$S$2, B48, 0)</f>
        <v>0</v>
      </c>
      <c r="F48" s="13">
        <f t="shared" si="1"/>
        <v>0</v>
      </c>
      <c r="G48" s="13">
        <f t="shared" si="2"/>
        <v>0</v>
      </c>
      <c r="H48" s="13" t="str">
        <f>IF(B48&gt;=$T$2, A48, "")</f>
        <v/>
      </c>
      <c r="I48" s="14" t="e">
        <f t="shared" si="3"/>
        <v>#N/A</v>
      </c>
      <c r="J48" s="14">
        <v>0.5</v>
      </c>
      <c r="K48" s="14" t="e">
        <f t="shared" si="4"/>
        <v>#N/A</v>
      </c>
      <c r="L48" s="14">
        <v>0.4</v>
      </c>
      <c r="N48" s="4"/>
      <c r="O48" s="4"/>
      <c r="P48" s="5"/>
      <c r="Q48" s="1"/>
      <c r="R48" s="2"/>
      <c r="S48" s="2"/>
      <c r="T48" s="1"/>
      <c r="U48" s="2"/>
      <c r="V48" s="2"/>
      <c r="W48" s="2"/>
    </row>
    <row r="49" spans="1:23">
      <c r="A49" s="13">
        <v>4.7</v>
      </c>
      <c r="B49" s="13">
        <f t="shared" si="0"/>
        <v>0</v>
      </c>
      <c r="C49" s="13" t="str">
        <f>IF(B49&gt;=$S$2, A49, "")</f>
        <v/>
      </c>
      <c r="D49" s="13" t="str">
        <f>IF(AND(B49=1, B49&gt;=$S$2), A49, "")</f>
        <v/>
      </c>
      <c r="E49" s="13">
        <f>IF(B49&gt;=$S$2, B49, 0)</f>
        <v>0</v>
      </c>
      <c r="F49" s="13">
        <f t="shared" si="1"/>
        <v>0</v>
      </c>
      <c r="G49" s="13">
        <f t="shared" si="2"/>
        <v>0</v>
      </c>
      <c r="H49" s="13" t="str">
        <f>IF(B49&gt;=$T$2, A49, "")</f>
        <v/>
      </c>
      <c r="I49" s="14" t="e">
        <f t="shared" si="3"/>
        <v>#N/A</v>
      </c>
      <c r="J49" s="14">
        <v>0.5</v>
      </c>
      <c r="K49" s="14" t="e">
        <f t="shared" si="4"/>
        <v>#N/A</v>
      </c>
      <c r="L49" s="14">
        <v>0.4</v>
      </c>
      <c r="N49" s="4"/>
      <c r="O49" s="4"/>
      <c r="P49" s="5"/>
      <c r="Q49" s="1"/>
      <c r="R49" s="2"/>
      <c r="S49" s="2"/>
      <c r="T49" s="1"/>
      <c r="U49" s="2"/>
      <c r="V49" s="2"/>
      <c r="W49" s="2"/>
    </row>
    <row r="50" spans="1:23">
      <c r="A50" s="13">
        <v>4.8</v>
      </c>
      <c r="B50" s="13">
        <f t="shared" si="0"/>
        <v>0</v>
      </c>
      <c r="C50" s="13" t="str">
        <f>IF(B50&gt;=$S$2, A50, "")</f>
        <v/>
      </c>
      <c r="D50" s="13" t="str">
        <f>IF(AND(B50=1, B50&gt;=$S$2), A50, "")</f>
        <v/>
      </c>
      <c r="E50" s="13">
        <f>IF(B50&gt;=$S$2, B50, 0)</f>
        <v>0</v>
      </c>
      <c r="F50" s="13">
        <f t="shared" si="1"/>
        <v>0</v>
      </c>
      <c r="G50" s="13">
        <f t="shared" si="2"/>
        <v>0</v>
      </c>
      <c r="H50" s="13" t="str">
        <f>IF(B50&gt;=$T$2, A50, "")</f>
        <v/>
      </c>
      <c r="I50" s="14" t="e">
        <f t="shared" si="3"/>
        <v>#N/A</v>
      </c>
      <c r="J50" s="14">
        <v>0.5</v>
      </c>
      <c r="K50" s="14" t="e">
        <f t="shared" si="4"/>
        <v>#N/A</v>
      </c>
      <c r="L50" s="14">
        <v>0.4</v>
      </c>
      <c r="N50" s="4"/>
      <c r="O50" s="4"/>
      <c r="P50" s="5"/>
      <c r="Q50" s="1"/>
      <c r="R50" s="2"/>
      <c r="S50" s="2"/>
      <c r="T50" s="1"/>
      <c r="U50" s="2"/>
      <c r="V50" s="2"/>
      <c r="W50" s="2"/>
    </row>
    <row r="51" spans="1:23">
      <c r="A51" s="13">
        <v>4.9000000000000004</v>
      </c>
      <c r="B51" s="13">
        <f t="shared" si="0"/>
        <v>0</v>
      </c>
      <c r="C51" s="13" t="str">
        <f>IF(B51&gt;=$S$2, A51, "")</f>
        <v/>
      </c>
      <c r="D51" s="13" t="str">
        <f>IF(AND(B51=1, B51&gt;=$S$2), A51, "")</f>
        <v/>
      </c>
      <c r="E51" s="13">
        <f>IF(B51&gt;=$S$2, B51, 0)</f>
        <v>0</v>
      </c>
      <c r="F51" s="13">
        <f t="shared" si="1"/>
        <v>0</v>
      </c>
      <c r="G51" s="13">
        <f t="shared" si="2"/>
        <v>0</v>
      </c>
      <c r="H51" s="13" t="str">
        <f>IF(B51&gt;=$T$2, A51, "")</f>
        <v/>
      </c>
      <c r="I51" s="14" t="e">
        <f t="shared" si="3"/>
        <v>#N/A</v>
      </c>
      <c r="J51" s="14">
        <v>0.5</v>
      </c>
      <c r="K51" s="14" t="e">
        <f t="shared" si="4"/>
        <v>#N/A</v>
      </c>
      <c r="L51" s="14">
        <v>0.4</v>
      </c>
      <c r="N51" s="4"/>
      <c r="O51" s="4"/>
      <c r="P51" s="5"/>
      <c r="Q51" s="1"/>
      <c r="R51" s="2"/>
      <c r="S51" s="2"/>
      <c r="T51" s="1"/>
      <c r="U51" s="2"/>
      <c r="V51" s="2"/>
      <c r="W51" s="2"/>
    </row>
    <row r="52" spans="1:23">
      <c r="A52" s="13">
        <v>5</v>
      </c>
      <c r="B52" s="13">
        <f t="shared" si="0"/>
        <v>0</v>
      </c>
      <c r="C52" s="13" t="str">
        <f>IF(B52&gt;=$S$2, A52, "")</f>
        <v/>
      </c>
      <c r="D52" s="13" t="str">
        <f>IF(AND(B52=1, B52&gt;=$S$2), A52, "")</f>
        <v/>
      </c>
      <c r="E52" s="13">
        <f>IF(B52&gt;=$S$2, B52, 0)</f>
        <v>0</v>
      </c>
      <c r="F52" s="13">
        <f t="shared" si="1"/>
        <v>0</v>
      </c>
      <c r="G52" s="13">
        <f t="shared" si="2"/>
        <v>0</v>
      </c>
      <c r="H52" s="13" t="str">
        <f>IF(B52&gt;=$T$2, A52, "")</f>
        <v/>
      </c>
      <c r="I52" s="14" t="e">
        <f t="shared" si="3"/>
        <v>#N/A</v>
      </c>
      <c r="J52" s="14">
        <v>0.5</v>
      </c>
      <c r="K52" s="14" t="e">
        <f t="shared" si="4"/>
        <v>#N/A</v>
      </c>
      <c r="L52" s="14">
        <v>0.4</v>
      </c>
      <c r="N52" s="4"/>
      <c r="O52" s="4"/>
      <c r="P52" s="5"/>
      <c r="Q52" s="1"/>
      <c r="R52" s="2"/>
      <c r="S52" s="2"/>
      <c r="T52" s="1"/>
      <c r="U52" s="2"/>
      <c r="V52" s="2"/>
      <c r="W52" s="2"/>
    </row>
    <row r="53" spans="1:23">
      <c r="A53" s="13">
        <v>5.0999999999999996</v>
      </c>
      <c r="B53" s="13">
        <f t="shared" si="0"/>
        <v>0</v>
      </c>
      <c r="C53" s="13" t="str">
        <f>IF(B53&gt;=$S$2, A53, "")</f>
        <v/>
      </c>
      <c r="D53" s="13" t="str">
        <f>IF(AND(B53=1, B53&gt;=$S$2), A53, "")</f>
        <v/>
      </c>
      <c r="E53" s="13">
        <f>IF(B53&gt;=$S$2, B53, 0)</f>
        <v>0</v>
      </c>
      <c r="F53" s="13">
        <f t="shared" si="1"/>
        <v>0</v>
      </c>
      <c r="G53" s="13">
        <f t="shared" si="2"/>
        <v>0</v>
      </c>
      <c r="H53" s="13" t="str">
        <f>IF(B53&gt;=$T$2, A53, "")</f>
        <v/>
      </c>
      <c r="I53" s="14" t="e">
        <f t="shared" si="3"/>
        <v>#N/A</v>
      </c>
      <c r="J53" s="14">
        <v>0.5</v>
      </c>
      <c r="K53" s="14" t="e">
        <f t="shared" si="4"/>
        <v>#N/A</v>
      </c>
      <c r="L53" s="14">
        <v>0.4</v>
      </c>
      <c r="N53" s="4"/>
      <c r="O53" s="4"/>
      <c r="P53" s="5"/>
      <c r="Q53" s="1"/>
      <c r="R53" s="2"/>
      <c r="S53" s="2"/>
      <c r="T53" s="1"/>
      <c r="U53" s="2"/>
      <c r="V53" s="2"/>
      <c r="W53" s="2"/>
    </row>
    <row r="54" spans="1:23">
      <c r="A54" s="13">
        <v>5.2</v>
      </c>
      <c r="B54" s="13">
        <f t="shared" si="0"/>
        <v>0</v>
      </c>
      <c r="C54" s="13" t="str">
        <f>IF(B54&gt;=$S$2, A54, "")</f>
        <v/>
      </c>
      <c r="D54" s="13" t="str">
        <f>IF(AND(B54=1, B54&gt;=$S$2), A54, "")</f>
        <v/>
      </c>
      <c r="E54" s="13">
        <f>IF(B54&gt;=$S$2, B54, 0)</f>
        <v>0</v>
      </c>
      <c r="F54" s="13">
        <f t="shared" si="1"/>
        <v>0</v>
      </c>
      <c r="G54" s="13">
        <f t="shared" si="2"/>
        <v>0</v>
      </c>
      <c r="H54" s="13" t="str">
        <f>IF(B54&gt;=$T$2, A54, "")</f>
        <v/>
      </c>
      <c r="I54" s="14" t="e">
        <f t="shared" si="3"/>
        <v>#N/A</v>
      </c>
      <c r="J54" s="14">
        <v>0.5</v>
      </c>
      <c r="K54" s="14" t="e">
        <f t="shared" si="4"/>
        <v>#N/A</v>
      </c>
      <c r="L54" s="14">
        <v>0.4</v>
      </c>
      <c r="N54" s="4"/>
      <c r="O54" s="4"/>
      <c r="P54" s="5"/>
      <c r="Q54" s="1"/>
      <c r="R54" s="2"/>
      <c r="S54" s="2"/>
      <c r="T54" s="1"/>
      <c r="U54" s="2"/>
      <c r="V54" s="2"/>
      <c r="W54" s="2"/>
    </row>
    <row r="55" spans="1:23">
      <c r="A55" s="13">
        <v>5.3</v>
      </c>
      <c r="B55" s="13">
        <f t="shared" si="0"/>
        <v>0</v>
      </c>
      <c r="C55" s="13" t="str">
        <f>IF(B55&gt;=$S$2, A55, "")</f>
        <v/>
      </c>
      <c r="D55" s="13" t="str">
        <f>IF(AND(B55=1, B55&gt;=$S$2), A55, "")</f>
        <v/>
      </c>
      <c r="E55" s="13">
        <f>IF(B55&gt;=$S$2, B55, 0)</f>
        <v>0</v>
      </c>
      <c r="F55" s="13">
        <f t="shared" si="1"/>
        <v>0</v>
      </c>
      <c r="G55" s="13">
        <f t="shared" si="2"/>
        <v>0</v>
      </c>
      <c r="H55" s="13" t="str">
        <f>IF(B55&gt;=$T$2, A55, "")</f>
        <v/>
      </c>
      <c r="I55" s="14" t="e">
        <f t="shared" si="3"/>
        <v>#N/A</v>
      </c>
      <c r="J55" s="14">
        <v>0.5</v>
      </c>
      <c r="K55" s="14" t="e">
        <f t="shared" si="4"/>
        <v>#N/A</v>
      </c>
      <c r="L55" s="14">
        <v>0.4</v>
      </c>
      <c r="N55" s="4"/>
      <c r="O55" s="4"/>
      <c r="P55" s="5"/>
      <c r="Q55" s="1"/>
      <c r="R55" s="2"/>
      <c r="S55" s="2"/>
      <c r="T55" s="1"/>
      <c r="U55" s="2"/>
      <c r="V55" s="2"/>
      <c r="W55" s="2"/>
    </row>
    <row r="56" spans="1:23">
      <c r="A56" s="13">
        <v>5.4</v>
      </c>
      <c r="B56" s="13">
        <f t="shared" si="0"/>
        <v>0</v>
      </c>
      <c r="C56" s="13" t="str">
        <f>IF(B56&gt;=$S$2, A56, "")</f>
        <v/>
      </c>
      <c r="D56" s="13" t="str">
        <f>IF(AND(B56=1, B56&gt;=$S$2), A56, "")</f>
        <v/>
      </c>
      <c r="E56" s="13">
        <f>IF(B56&gt;=$S$2, B56, 0)</f>
        <v>0</v>
      </c>
      <c r="F56" s="13">
        <f t="shared" si="1"/>
        <v>0</v>
      </c>
      <c r="G56" s="13">
        <f t="shared" si="2"/>
        <v>0</v>
      </c>
      <c r="H56" s="13" t="str">
        <f>IF(B56&gt;=$T$2, A56, "")</f>
        <v/>
      </c>
      <c r="I56" s="14" t="e">
        <f t="shared" si="3"/>
        <v>#N/A</v>
      </c>
      <c r="J56" s="14">
        <v>0.5</v>
      </c>
      <c r="K56" s="14" t="e">
        <f t="shared" si="4"/>
        <v>#N/A</v>
      </c>
      <c r="L56" s="14">
        <v>0.4</v>
      </c>
      <c r="N56" s="4"/>
      <c r="O56" s="4"/>
      <c r="P56" s="5"/>
      <c r="Q56" s="1"/>
      <c r="R56" s="2"/>
      <c r="S56" s="2"/>
      <c r="T56" s="1"/>
      <c r="U56" s="2"/>
      <c r="V56" s="2"/>
      <c r="W56" s="2"/>
    </row>
    <row r="57" spans="1:23">
      <c r="A57" s="13">
        <v>5.5</v>
      </c>
      <c r="B57" s="13">
        <f t="shared" si="0"/>
        <v>0</v>
      </c>
      <c r="C57" s="13" t="str">
        <f>IF(B57&gt;=$S$2, A57, "")</f>
        <v/>
      </c>
      <c r="D57" s="13" t="str">
        <f>IF(AND(B57=1, B57&gt;=$S$2), A57, "")</f>
        <v/>
      </c>
      <c r="E57" s="13">
        <f>IF(B57&gt;=$S$2, B57, 0)</f>
        <v>0</v>
      </c>
      <c r="F57" s="13">
        <f t="shared" si="1"/>
        <v>0</v>
      </c>
      <c r="G57" s="13">
        <f t="shared" si="2"/>
        <v>0</v>
      </c>
      <c r="H57" s="13" t="str">
        <f>IF(B57&gt;=$T$2, A57, "")</f>
        <v/>
      </c>
      <c r="I57" s="14" t="e">
        <f t="shared" si="3"/>
        <v>#N/A</v>
      </c>
      <c r="J57" s="14">
        <v>0.5</v>
      </c>
      <c r="K57" s="14" t="e">
        <f t="shared" si="4"/>
        <v>#N/A</v>
      </c>
      <c r="L57" s="14">
        <v>0.4</v>
      </c>
      <c r="N57" s="4"/>
      <c r="O57" s="4"/>
      <c r="P57" s="5"/>
      <c r="Q57" s="1"/>
      <c r="R57" s="2"/>
      <c r="S57" s="2"/>
      <c r="T57" s="1"/>
      <c r="U57" s="2"/>
      <c r="V57" s="2"/>
      <c r="W57" s="2"/>
    </row>
    <row r="58" spans="1:23">
      <c r="A58" s="13">
        <v>5.6</v>
      </c>
      <c r="B58" s="13">
        <f t="shared" si="0"/>
        <v>0</v>
      </c>
      <c r="C58" s="13" t="str">
        <f>IF(B58&gt;=$S$2, A58, "")</f>
        <v/>
      </c>
      <c r="D58" s="13" t="str">
        <f>IF(AND(B58=1, B58&gt;=$S$2), A58, "")</f>
        <v/>
      </c>
      <c r="E58" s="13">
        <f>IF(B58&gt;=$S$2, B58, 0)</f>
        <v>0</v>
      </c>
      <c r="F58" s="13">
        <f t="shared" si="1"/>
        <v>0</v>
      </c>
      <c r="G58" s="13">
        <f t="shared" si="2"/>
        <v>0</v>
      </c>
      <c r="H58" s="13" t="str">
        <f>IF(B58&gt;=$T$2, A58, "")</f>
        <v/>
      </c>
      <c r="I58" s="14" t="e">
        <f t="shared" si="3"/>
        <v>#N/A</v>
      </c>
      <c r="J58" s="14">
        <v>0.5</v>
      </c>
      <c r="K58" s="14" t="e">
        <f t="shared" si="4"/>
        <v>#N/A</v>
      </c>
      <c r="L58" s="14">
        <v>0.4</v>
      </c>
      <c r="N58" s="4"/>
      <c r="O58" s="4"/>
      <c r="P58" s="5"/>
      <c r="Q58" s="1"/>
      <c r="R58" s="2"/>
      <c r="S58" s="2"/>
      <c r="T58" s="1"/>
      <c r="U58" s="2"/>
      <c r="V58" s="2"/>
      <c r="W58" s="2"/>
    </row>
    <row r="59" spans="1:23">
      <c r="A59" s="13">
        <v>5.7</v>
      </c>
      <c r="B59" s="13">
        <f t="shared" si="0"/>
        <v>0</v>
      </c>
      <c r="C59" s="13" t="str">
        <f>IF(B59&gt;=$S$2, A59, "")</f>
        <v/>
      </c>
      <c r="D59" s="13" t="str">
        <f>IF(AND(B59=1, B59&gt;=$S$2), A59, "")</f>
        <v/>
      </c>
      <c r="E59" s="13">
        <f>IF(B59&gt;=$S$2, B59, 0)</f>
        <v>0</v>
      </c>
      <c r="F59" s="13">
        <f t="shared" si="1"/>
        <v>0</v>
      </c>
      <c r="G59" s="13">
        <f t="shared" si="2"/>
        <v>0</v>
      </c>
      <c r="H59" s="13" t="str">
        <f>IF(B59&gt;=$T$2, A59, "")</f>
        <v/>
      </c>
      <c r="I59" s="14" t="e">
        <f t="shared" si="3"/>
        <v>#N/A</v>
      </c>
      <c r="J59" s="14">
        <v>0.5</v>
      </c>
      <c r="K59" s="14" t="e">
        <f t="shared" si="4"/>
        <v>#N/A</v>
      </c>
      <c r="L59" s="14">
        <v>0.4</v>
      </c>
      <c r="N59" s="4"/>
      <c r="O59" s="4"/>
      <c r="P59" s="5"/>
      <c r="Q59" s="1"/>
      <c r="R59" s="2"/>
      <c r="S59" s="2"/>
      <c r="T59" s="1"/>
      <c r="U59" s="2"/>
      <c r="V59" s="2"/>
      <c r="W59" s="2"/>
    </row>
    <row r="60" spans="1:23">
      <c r="A60" s="13">
        <v>5.8</v>
      </c>
      <c r="B60" s="13">
        <f t="shared" si="0"/>
        <v>0</v>
      </c>
      <c r="C60" s="13" t="str">
        <f>IF(B60&gt;=$S$2, A60, "")</f>
        <v/>
      </c>
      <c r="D60" s="13" t="str">
        <f>IF(AND(B60=1, B60&gt;=$S$2), A60, "")</f>
        <v/>
      </c>
      <c r="E60" s="13">
        <f>IF(B60&gt;=$S$2, B60, 0)</f>
        <v>0</v>
      </c>
      <c r="F60" s="13">
        <f t="shared" si="1"/>
        <v>0</v>
      </c>
      <c r="G60" s="13">
        <f t="shared" si="2"/>
        <v>0</v>
      </c>
      <c r="H60" s="13" t="str">
        <f>IF(B60&gt;=$T$2, A60, "")</f>
        <v/>
      </c>
      <c r="I60" s="14" t="e">
        <f t="shared" si="3"/>
        <v>#N/A</v>
      </c>
      <c r="J60" s="14">
        <v>0.5</v>
      </c>
      <c r="K60" s="14" t="e">
        <f t="shared" si="4"/>
        <v>#N/A</v>
      </c>
      <c r="L60" s="14">
        <v>0.4</v>
      </c>
      <c r="N60" s="4"/>
      <c r="O60" s="4"/>
      <c r="P60" s="5"/>
      <c r="Q60" s="1"/>
      <c r="R60" s="2"/>
      <c r="S60" s="2"/>
      <c r="T60" s="1"/>
      <c r="U60" s="2"/>
      <c r="V60" s="2"/>
      <c r="W60" s="2"/>
    </row>
    <row r="61" spans="1:23" ht="12.75">
      <c r="A61" s="13">
        <v>5.9</v>
      </c>
      <c r="B61" s="13">
        <f t="shared" si="0"/>
        <v>0</v>
      </c>
      <c r="C61" s="13" t="str">
        <f>IF(B61&gt;=$S$2, A61, "")</f>
        <v/>
      </c>
      <c r="D61" s="13" t="str">
        <f>IF(AND(B61=1, B61&gt;=$S$2), A61, "")</f>
        <v/>
      </c>
      <c r="E61" s="13">
        <f>IF(B61&gt;=$S$2, B61, 0)</f>
        <v>0</v>
      </c>
      <c r="F61" s="13">
        <f t="shared" si="1"/>
        <v>0</v>
      </c>
      <c r="G61" s="13">
        <f t="shared" si="2"/>
        <v>0</v>
      </c>
      <c r="H61" s="13" t="str">
        <f>IF(B61&gt;=$T$2, A61, "")</f>
        <v/>
      </c>
      <c r="I61" s="14" t="e">
        <f t="shared" si="3"/>
        <v>#N/A</v>
      </c>
      <c r="J61" s="14">
        <v>0.5</v>
      </c>
      <c r="K61" s="14" t="e">
        <f t="shared" si="4"/>
        <v>#N/A</v>
      </c>
      <c r="L61" s="14">
        <v>0.4</v>
      </c>
      <c r="N61" s="4"/>
      <c r="O61" s="4"/>
      <c r="P61" s="5"/>
      <c r="Q61" s="1"/>
      <c r="R61" s="2"/>
      <c r="S61" s="2"/>
      <c r="T61" s="1"/>
      <c r="U61" s="2"/>
      <c r="V61" s="2"/>
      <c r="W61" s="2"/>
    </row>
    <row r="62" spans="1:23" ht="12.75">
      <c r="A62" s="13">
        <v>6</v>
      </c>
      <c r="B62" s="13">
        <f t="shared" si="0"/>
        <v>0</v>
      </c>
      <c r="C62" s="13" t="str">
        <f>IF(B62&gt;=$S$2, A62, "")</f>
        <v/>
      </c>
      <c r="D62" s="13" t="str">
        <f>IF(AND(B62=1, B62&gt;=$S$2), A62, "")</f>
        <v/>
      </c>
      <c r="E62" s="13">
        <f>IF(B62&gt;=$S$2, B62, 0)</f>
        <v>0</v>
      </c>
      <c r="F62" s="13">
        <f t="shared" si="1"/>
        <v>0</v>
      </c>
      <c r="G62" s="13">
        <f t="shared" si="2"/>
        <v>0</v>
      </c>
      <c r="H62" s="13" t="str">
        <f>IF(B62&gt;=$T$2, A62, "")</f>
        <v/>
      </c>
      <c r="I62" s="14" t="e">
        <f t="shared" si="3"/>
        <v>#N/A</v>
      </c>
      <c r="J62" s="14">
        <v>0.5</v>
      </c>
      <c r="K62" s="14" t="e">
        <f t="shared" si="4"/>
        <v>#N/A</v>
      </c>
      <c r="L62" s="14">
        <v>0.4</v>
      </c>
      <c r="N62" s="4"/>
      <c r="O62" s="18" t="s">
        <v>24</v>
      </c>
      <c r="P62" s="18" t="s">
        <v>25</v>
      </c>
      <c r="Q62" s="1"/>
      <c r="R62" s="2"/>
      <c r="S62" s="2"/>
      <c r="T62" s="1"/>
      <c r="U62" s="2"/>
      <c r="V62" s="2"/>
      <c r="W62" s="2"/>
    </row>
    <row r="63" spans="1:23" ht="16.5">
      <c r="A63" s="13">
        <v>6.1</v>
      </c>
      <c r="B63" s="13">
        <f t="shared" si="0"/>
        <v>0</v>
      </c>
      <c r="C63" s="13" t="str">
        <f>IF(B63&gt;=$S$2, A63, "")</f>
        <v/>
      </c>
      <c r="D63" s="13" t="str">
        <f>IF(AND(B63=1, B63&gt;=$S$2), A63, "")</f>
        <v/>
      </c>
      <c r="E63" s="13">
        <f>IF(B63&gt;=$S$2, B63, 0)</f>
        <v>0</v>
      </c>
      <c r="F63" s="13">
        <f t="shared" si="1"/>
        <v>0</v>
      </c>
      <c r="G63" s="13">
        <f t="shared" si="2"/>
        <v>0</v>
      </c>
      <c r="H63" s="13" t="str">
        <f>IF(B63&gt;=$T$2, A63, "")</f>
        <v/>
      </c>
      <c r="I63" s="14" t="e">
        <f t="shared" si="3"/>
        <v>#N/A</v>
      </c>
      <c r="J63" s="14">
        <v>0.5</v>
      </c>
      <c r="K63" s="14" t="e">
        <f t="shared" si="4"/>
        <v>#N/A</v>
      </c>
      <c r="L63" s="14">
        <v>0.4</v>
      </c>
      <c r="N63" s="4"/>
      <c r="O63" s="19">
        <v>31.1</v>
      </c>
      <c r="P63" s="19">
        <v>0</v>
      </c>
      <c r="Q63" s="1"/>
      <c r="R63" s="2"/>
      <c r="S63" s="2"/>
      <c r="T63" s="1"/>
      <c r="U63" s="2"/>
      <c r="V63" s="2"/>
      <c r="W63" s="2"/>
    </row>
    <row r="64" spans="1:23" ht="16.5">
      <c r="A64" s="13">
        <v>6.2</v>
      </c>
      <c r="B64" s="13">
        <f t="shared" si="0"/>
        <v>0</v>
      </c>
      <c r="C64" s="13" t="str">
        <f>IF(B64&gt;=$S$2, A64, "")</f>
        <v/>
      </c>
      <c r="D64" s="13" t="str">
        <f>IF(AND(B64=1, B64&gt;=$S$2), A64, "")</f>
        <v/>
      </c>
      <c r="E64" s="13">
        <f>IF(B64&gt;=$S$2, B64, 0)</f>
        <v>0</v>
      </c>
      <c r="F64" s="13">
        <f t="shared" si="1"/>
        <v>0</v>
      </c>
      <c r="G64" s="13">
        <f t="shared" si="2"/>
        <v>0</v>
      </c>
      <c r="H64" s="13" t="str">
        <f>IF(B64&gt;=$T$2, A64, "")</f>
        <v/>
      </c>
      <c r="I64" s="14" t="e">
        <f t="shared" si="3"/>
        <v>#N/A</v>
      </c>
      <c r="J64" s="14">
        <v>0.5</v>
      </c>
      <c r="K64" s="14" t="e">
        <f t="shared" si="4"/>
        <v>#N/A</v>
      </c>
      <c r="L64" s="14">
        <v>0.4</v>
      </c>
      <c r="N64" s="4"/>
      <c r="O64" s="19">
        <v>31.1</v>
      </c>
      <c r="P64" s="19">
        <v>0.4</v>
      </c>
      <c r="Q64" s="1"/>
      <c r="R64" s="2"/>
      <c r="S64" s="2"/>
      <c r="T64" s="1"/>
      <c r="U64" s="2"/>
      <c r="V64" s="2"/>
      <c r="W64" s="2"/>
    </row>
    <row r="65" spans="1:23" ht="16.5">
      <c r="A65" s="13">
        <v>6.3</v>
      </c>
      <c r="B65" s="13">
        <f t="shared" si="0"/>
        <v>0</v>
      </c>
      <c r="C65" s="13" t="str">
        <f>IF(B65&gt;=$S$2, A65, "")</f>
        <v/>
      </c>
      <c r="D65" s="13" t="str">
        <f>IF(AND(B65=1, B65&gt;=$S$2), A65, "")</f>
        <v/>
      </c>
      <c r="E65" s="13">
        <f>IF(B65&gt;=$S$2, B65, 0)</f>
        <v>0</v>
      </c>
      <c r="F65" s="13">
        <f t="shared" si="1"/>
        <v>0</v>
      </c>
      <c r="G65" s="13">
        <f t="shared" si="2"/>
        <v>0</v>
      </c>
      <c r="H65" s="13" t="str">
        <f>IF(B65&gt;=$T$2, A65, "")</f>
        <v/>
      </c>
      <c r="I65" s="14" t="e">
        <f t="shared" si="3"/>
        <v>#N/A</v>
      </c>
      <c r="J65" s="14">
        <v>0.5</v>
      </c>
      <c r="K65" s="14" t="e">
        <f t="shared" si="4"/>
        <v>#N/A</v>
      </c>
      <c r="L65" s="14">
        <v>0.4</v>
      </c>
      <c r="N65" s="4"/>
      <c r="O65" s="19">
        <v>57.2</v>
      </c>
      <c r="P65" s="19">
        <v>0.4</v>
      </c>
      <c r="Q65" s="1"/>
      <c r="R65" s="2"/>
      <c r="S65" s="2"/>
      <c r="T65" s="1"/>
      <c r="U65" s="2"/>
      <c r="V65" s="2"/>
      <c r="W65" s="2"/>
    </row>
    <row r="66" spans="1:23" ht="16.5">
      <c r="A66" s="13">
        <v>6.4</v>
      </c>
      <c r="B66" s="13">
        <f t="shared" si="0"/>
        <v>0</v>
      </c>
      <c r="C66" s="13" t="str">
        <f>IF(B66&gt;=$S$2, A66, "")</f>
        <v/>
      </c>
      <c r="D66" s="13" t="str">
        <f>IF(AND(B66=1, B66&gt;=$S$2), A66, "")</f>
        <v/>
      </c>
      <c r="E66" s="13">
        <f>IF(B66&gt;=$S$2, B66, 0)</f>
        <v>0</v>
      </c>
      <c r="F66" s="13">
        <f t="shared" si="1"/>
        <v>0</v>
      </c>
      <c r="G66" s="13">
        <f t="shared" si="2"/>
        <v>0</v>
      </c>
      <c r="H66" s="13" t="str">
        <f>IF(B66&gt;=$T$2, A66, "")</f>
        <v/>
      </c>
      <c r="I66" s="14" t="e">
        <f t="shared" si="3"/>
        <v>#N/A</v>
      </c>
      <c r="J66" s="14">
        <v>0.5</v>
      </c>
      <c r="K66" s="14" t="e">
        <f t="shared" si="4"/>
        <v>#N/A</v>
      </c>
      <c r="L66" s="14">
        <v>0.4</v>
      </c>
      <c r="N66" s="4"/>
      <c r="O66" s="19">
        <v>57.2</v>
      </c>
      <c r="P66" s="19">
        <v>0</v>
      </c>
      <c r="Q66" s="1"/>
      <c r="R66" s="2"/>
      <c r="S66" s="2"/>
      <c r="T66" s="1"/>
      <c r="U66" s="2"/>
      <c r="V66" s="2"/>
      <c r="W66" s="2"/>
    </row>
    <row r="67" spans="1:23" ht="16.5">
      <c r="A67" s="13">
        <v>6.5</v>
      </c>
      <c r="B67" s="13">
        <f t="shared" si="0"/>
        <v>0</v>
      </c>
      <c r="C67" s="13" t="str">
        <f>IF(B67&gt;=$S$2, A67, "")</f>
        <v/>
      </c>
      <c r="D67" s="13" t="str">
        <f>IF(AND(B67=1, B67&gt;=$S$2), A67, "")</f>
        <v/>
      </c>
      <c r="E67" s="13">
        <f>IF(B67&gt;=$S$2, B67, 0)</f>
        <v>0</v>
      </c>
      <c r="F67" s="13">
        <f t="shared" si="1"/>
        <v>0</v>
      </c>
      <c r="G67" s="13">
        <f t="shared" si="2"/>
        <v>0</v>
      </c>
      <c r="H67" s="13" t="str">
        <f>IF(B67&gt;=$T$2, A67, "")</f>
        <v/>
      </c>
      <c r="I67" s="14" t="e">
        <f t="shared" ref="I67:I130" si="5">IF($B67&gt;=0.5, $B67, #N/A)</f>
        <v>#N/A</v>
      </c>
      <c r="J67" s="14">
        <v>0.5</v>
      </c>
      <c r="K67" s="14" t="e">
        <f t="shared" ref="K67:K130" si="6">IF($B67&gt;=0.4, $B67, #N/A)</f>
        <v>#N/A</v>
      </c>
      <c r="L67" s="14">
        <v>0.4</v>
      </c>
      <c r="N67" s="4"/>
      <c r="O67" s="19">
        <v>31.1</v>
      </c>
      <c r="P67" s="19">
        <v>0</v>
      </c>
      <c r="Q67" s="1"/>
      <c r="R67" s="2"/>
      <c r="S67" s="2"/>
      <c r="T67" s="1"/>
      <c r="U67" s="2"/>
      <c r="V67" s="2"/>
      <c r="W67" s="2"/>
    </row>
    <row r="68" spans="1:23" ht="12.75">
      <c r="A68" s="13">
        <v>6.6</v>
      </c>
      <c r="B68" s="13">
        <f t="shared" si="0"/>
        <v>0</v>
      </c>
      <c r="C68" s="13" t="str">
        <f>IF(B68&gt;=$S$2, A68, "")</f>
        <v/>
      </c>
      <c r="D68" s="13" t="str">
        <f>IF(AND(B68=1, B68&gt;=$S$2), A68, "")</f>
        <v/>
      </c>
      <c r="E68" s="13">
        <f>IF(B68&gt;=$S$2, B68, 0)</f>
        <v>0</v>
      </c>
      <c r="F68" s="13">
        <f t="shared" si="1"/>
        <v>0</v>
      </c>
      <c r="G68" s="13">
        <f t="shared" si="2"/>
        <v>0</v>
      </c>
      <c r="H68" s="13" t="str">
        <f>IF(B68&gt;=$T$2, A68, "")</f>
        <v/>
      </c>
      <c r="I68" s="14" t="e">
        <f t="shared" si="5"/>
        <v>#N/A</v>
      </c>
      <c r="J68" s="14">
        <v>0.5</v>
      </c>
      <c r="K68" s="14" t="e">
        <f t="shared" si="6"/>
        <v>#N/A</v>
      </c>
      <c r="L68" s="14">
        <v>0.4</v>
      </c>
      <c r="N68" s="4"/>
      <c r="O68" s="4"/>
      <c r="P68" s="5"/>
      <c r="Q68" s="1"/>
      <c r="R68" s="2"/>
      <c r="S68" s="2"/>
      <c r="T68" s="1"/>
      <c r="U68" s="2"/>
      <c r="V68" s="2"/>
      <c r="W68" s="2"/>
    </row>
    <row r="69" spans="1:23">
      <c r="A69" s="13">
        <v>6.7</v>
      </c>
      <c r="B69" s="13">
        <f t="shared" si="0"/>
        <v>0</v>
      </c>
      <c r="C69" s="13" t="str">
        <f>IF(B69&gt;=$S$2, A69, "")</f>
        <v/>
      </c>
      <c r="D69" s="13" t="str">
        <f>IF(AND(B69=1, B69&gt;=$S$2), A69, "")</f>
        <v/>
      </c>
      <c r="E69" s="13">
        <f>IF(B69&gt;=$S$2, B69, 0)</f>
        <v>0</v>
      </c>
      <c r="F69" s="13">
        <f t="shared" si="1"/>
        <v>0</v>
      </c>
      <c r="G69" s="13">
        <f t="shared" si="2"/>
        <v>0</v>
      </c>
      <c r="H69" s="13" t="str">
        <f>IF(B69&gt;=$T$2, A69, "")</f>
        <v/>
      </c>
      <c r="I69" s="14" t="e">
        <f t="shared" si="5"/>
        <v>#N/A</v>
      </c>
      <c r="J69" s="14">
        <v>0.5</v>
      </c>
      <c r="K69" s="14" t="e">
        <f t="shared" si="6"/>
        <v>#N/A</v>
      </c>
      <c r="L69" s="14">
        <v>0.4</v>
      </c>
      <c r="N69" s="4"/>
      <c r="O69" s="4"/>
      <c r="P69" s="5"/>
      <c r="Q69" s="1"/>
      <c r="R69" s="2"/>
      <c r="S69" s="2"/>
      <c r="T69" s="1"/>
      <c r="U69" s="2"/>
      <c r="V69" s="2"/>
      <c r="W69" s="2"/>
    </row>
    <row r="70" spans="1:23">
      <c r="A70" s="13">
        <v>6.8</v>
      </c>
      <c r="B70" s="13">
        <f t="shared" si="0"/>
        <v>0</v>
      </c>
      <c r="C70" s="13" t="str">
        <f>IF(B70&gt;=$S$2, A70, "")</f>
        <v/>
      </c>
      <c r="D70" s="13" t="str">
        <f>IF(AND(B70=1, B70&gt;=$S$2), A70, "")</f>
        <v/>
      </c>
      <c r="E70" s="13">
        <f>IF(B70&gt;=$S$2, B70, 0)</f>
        <v>0</v>
      </c>
      <c r="F70" s="13">
        <f t="shared" si="1"/>
        <v>0</v>
      </c>
      <c r="G70" s="13">
        <f t="shared" si="2"/>
        <v>0</v>
      </c>
      <c r="H70" s="13" t="str">
        <f>IF(B70&gt;=$T$2, A70, "")</f>
        <v/>
      </c>
      <c r="I70" s="14" t="e">
        <f t="shared" si="5"/>
        <v>#N/A</v>
      </c>
      <c r="J70" s="14">
        <v>0.5</v>
      </c>
      <c r="K70" s="14" t="e">
        <f t="shared" si="6"/>
        <v>#N/A</v>
      </c>
      <c r="L70" s="14">
        <v>0.4</v>
      </c>
      <c r="N70" s="4"/>
      <c r="O70" s="4"/>
      <c r="P70" s="5"/>
      <c r="Q70" s="1"/>
      <c r="R70" s="2"/>
      <c r="S70" s="2"/>
      <c r="T70" s="1"/>
      <c r="U70" s="2"/>
      <c r="V70" s="2"/>
      <c r="W70" s="2"/>
    </row>
    <row r="71" spans="1:23">
      <c r="A71" s="13">
        <v>6.9</v>
      </c>
      <c r="B71" s="13">
        <f t="shared" si="0"/>
        <v>0</v>
      </c>
      <c r="C71" s="13" t="str">
        <f>IF(B71&gt;=$S$2, A71, "")</f>
        <v/>
      </c>
      <c r="D71" s="13" t="str">
        <f>IF(AND(B71=1, B71&gt;=$S$2), A71, "")</f>
        <v/>
      </c>
      <c r="E71" s="13">
        <f>IF(B71&gt;=$S$2, B71, 0)</f>
        <v>0</v>
      </c>
      <c r="F71" s="13">
        <f t="shared" si="1"/>
        <v>0</v>
      </c>
      <c r="G71" s="13">
        <f t="shared" si="2"/>
        <v>0</v>
      </c>
      <c r="H71" s="13" t="str">
        <f>IF(B71&gt;=$T$2, A71, "")</f>
        <v/>
      </c>
      <c r="I71" s="14" t="e">
        <f t="shared" si="5"/>
        <v>#N/A</v>
      </c>
      <c r="J71" s="14">
        <v>0.5</v>
      </c>
      <c r="K71" s="14" t="e">
        <f t="shared" si="6"/>
        <v>#N/A</v>
      </c>
      <c r="L71" s="14">
        <v>0.4</v>
      </c>
      <c r="N71" s="4"/>
      <c r="O71" s="4"/>
      <c r="P71" s="5"/>
      <c r="Q71" s="1"/>
      <c r="R71" s="2"/>
      <c r="S71" s="2"/>
      <c r="T71" s="1"/>
      <c r="U71" s="2"/>
      <c r="V71" s="2"/>
      <c r="W71" s="2"/>
    </row>
    <row r="72" spans="1:23">
      <c r="A72" s="13">
        <v>7</v>
      </c>
      <c r="B72" s="13">
        <f t="shared" si="0"/>
        <v>0</v>
      </c>
      <c r="C72" s="13" t="str">
        <f>IF(B72&gt;=$S$2, A72, "")</f>
        <v/>
      </c>
      <c r="D72" s="13" t="str">
        <f>IF(AND(B72=1, B72&gt;=$S$2), A72, "")</f>
        <v/>
      </c>
      <c r="E72" s="13">
        <f>IF(B72&gt;=$S$2, B72, 0)</f>
        <v>0</v>
      </c>
      <c r="F72" s="13">
        <f t="shared" si="1"/>
        <v>0</v>
      </c>
      <c r="G72" s="13">
        <f t="shared" si="2"/>
        <v>0</v>
      </c>
      <c r="H72" s="13" t="str">
        <f>IF(B72&gt;=$T$2, A72, "")</f>
        <v/>
      </c>
      <c r="I72" s="14" t="e">
        <f t="shared" si="5"/>
        <v>#N/A</v>
      </c>
      <c r="J72" s="14">
        <v>0.5</v>
      </c>
      <c r="K72" s="14" t="e">
        <f t="shared" si="6"/>
        <v>#N/A</v>
      </c>
      <c r="L72" s="14">
        <v>0.4</v>
      </c>
      <c r="N72" s="4"/>
      <c r="O72" s="4"/>
      <c r="P72" s="5"/>
      <c r="Q72" s="1"/>
      <c r="R72" s="2"/>
      <c r="S72" s="2"/>
      <c r="T72" s="1"/>
      <c r="U72" s="2"/>
      <c r="V72" s="2"/>
      <c r="W72" s="2"/>
    </row>
    <row r="73" spans="1:23">
      <c r="A73" s="13">
        <v>7.1</v>
      </c>
      <c r="B73" s="13">
        <f t="shared" si="0"/>
        <v>0</v>
      </c>
      <c r="C73" s="13" t="str">
        <f>IF(B73&gt;=$S$2, A73, "")</f>
        <v/>
      </c>
      <c r="D73" s="13" t="str">
        <f>IF(AND(B73=1, B73&gt;=$S$2), A73, "")</f>
        <v/>
      </c>
      <c r="E73" s="13">
        <f>IF(B73&gt;=$S$2, B73, 0)</f>
        <v>0</v>
      </c>
      <c r="F73" s="13">
        <f t="shared" si="1"/>
        <v>0</v>
      </c>
      <c r="G73" s="13">
        <f t="shared" si="2"/>
        <v>0</v>
      </c>
      <c r="H73" s="13" t="str">
        <f>IF(B73&gt;=$T$2, A73, "")</f>
        <v/>
      </c>
      <c r="I73" s="14" t="e">
        <f t="shared" si="5"/>
        <v>#N/A</v>
      </c>
      <c r="J73" s="14">
        <v>0.5</v>
      </c>
      <c r="K73" s="14" t="e">
        <f t="shared" si="6"/>
        <v>#N/A</v>
      </c>
      <c r="L73" s="14">
        <v>0.4</v>
      </c>
      <c r="N73" s="4"/>
      <c r="O73" s="4"/>
      <c r="P73" s="5"/>
      <c r="Q73" s="1"/>
      <c r="R73" s="2"/>
      <c r="S73" s="2"/>
      <c r="T73" s="1"/>
      <c r="U73" s="2"/>
      <c r="V73" s="2"/>
      <c r="W73" s="2"/>
    </row>
    <row r="74" spans="1:23">
      <c r="A74" s="13">
        <v>7.2</v>
      </c>
      <c r="B74" s="13">
        <f t="shared" si="0"/>
        <v>0</v>
      </c>
      <c r="C74" s="13" t="str">
        <f>IF(B74&gt;=$S$2, A74, "")</f>
        <v/>
      </c>
      <c r="D74" s="13" t="str">
        <f>IF(AND(B74=1, B74&gt;=$S$2), A74, "")</f>
        <v/>
      </c>
      <c r="E74" s="13">
        <f>IF(B74&gt;=$S$2, B74, 0)</f>
        <v>0</v>
      </c>
      <c r="F74" s="13">
        <f t="shared" si="1"/>
        <v>0</v>
      </c>
      <c r="G74" s="13">
        <f t="shared" si="2"/>
        <v>0</v>
      </c>
      <c r="H74" s="13" t="str">
        <f>IF(B74&gt;=$T$2, A74, "")</f>
        <v/>
      </c>
      <c r="I74" s="14" t="e">
        <f t="shared" si="5"/>
        <v>#N/A</v>
      </c>
      <c r="J74" s="14">
        <v>0.5</v>
      </c>
      <c r="K74" s="14" t="e">
        <f t="shared" si="6"/>
        <v>#N/A</v>
      </c>
      <c r="L74" s="14">
        <v>0.4</v>
      </c>
      <c r="N74" s="4"/>
      <c r="O74" s="4"/>
      <c r="P74" s="5"/>
      <c r="Q74" s="1"/>
      <c r="R74" s="2"/>
      <c r="S74" s="2"/>
      <c r="T74" s="1"/>
      <c r="U74" s="2"/>
      <c r="V74" s="2"/>
      <c r="W74" s="2"/>
    </row>
    <row r="75" spans="1:23">
      <c r="A75" s="13">
        <v>7.3</v>
      </c>
      <c r="B75" s="13">
        <f t="shared" si="0"/>
        <v>0</v>
      </c>
      <c r="C75" s="13" t="str">
        <f>IF(B75&gt;=$S$2, A75, "")</f>
        <v/>
      </c>
      <c r="D75" s="13" t="str">
        <f>IF(AND(B75=1, B75&gt;=$S$2), A75, "")</f>
        <v/>
      </c>
      <c r="E75" s="13">
        <f>IF(B75&gt;=$S$2, B75, 0)</f>
        <v>0</v>
      </c>
      <c r="F75" s="13">
        <f t="shared" si="1"/>
        <v>0</v>
      </c>
      <c r="G75" s="13">
        <f t="shared" si="2"/>
        <v>0</v>
      </c>
      <c r="H75" s="13" t="str">
        <f>IF(B75&gt;=$T$2, A75, "")</f>
        <v/>
      </c>
      <c r="I75" s="14" t="e">
        <f t="shared" si="5"/>
        <v>#N/A</v>
      </c>
      <c r="J75" s="14">
        <v>0.5</v>
      </c>
      <c r="K75" s="14" t="e">
        <f t="shared" si="6"/>
        <v>#N/A</v>
      </c>
      <c r="L75" s="14">
        <v>0.4</v>
      </c>
      <c r="N75" s="4"/>
      <c r="O75" s="4"/>
      <c r="P75" s="5"/>
      <c r="Q75" s="1"/>
      <c r="R75" s="2"/>
      <c r="S75" s="2"/>
      <c r="T75" s="1"/>
      <c r="U75" s="2"/>
      <c r="V75" s="2"/>
      <c r="W75" s="2"/>
    </row>
    <row r="76" spans="1:23">
      <c r="A76" s="13">
        <v>7.4</v>
      </c>
      <c r="B76" s="13">
        <f t="shared" si="0"/>
        <v>0</v>
      </c>
      <c r="C76" s="13" t="str">
        <f>IF(B76&gt;=$S$2, A76, "")</f>
        <v/>
      </c>
      <c r="D76" s="13" t="str">
        <f>IF(AND(B76=1, B76&gt;=$S$2), A76, "")</f>
        <v/>
      </c>
      <c r="E76" s="13">
        <f>IF(B76&gt;=$S$2, B76, 0)</f>
        <v>0</v>
      </c>
      <c r="F76" s="13">
        <f t="shared" si="1"/>
        <v>0</v>
      </c>
      <c r="G76" s="13">
        <f t="shared" si="2"/>
        <v>0</v>
      </c>
      <c r="H76" s="13" t="str">
        <f>IF(B76&gt;=$T$2, A76, "")</f>
        <v/>
      </c>
      <c r="I76" s="14" t="e">
        <f t="shared" si="5"/>
        <v>#N/A</v>
      </c>
      <c r="J76" s="14">
        <v>0.5</v>
      </c>
      <c r="K76" s="14" t="e">
        <f t="shared" si="6"/>
        <v>#N/A</v>
      </c>
      <c r="L76" s="14">
        <v>0.4</v>
      </c>
      <c r="N76" s="4"/>
      <c r="O76" s="4"/>
      <c r="P76" s="5"/>
      <c r="Q76" s="1"/>
      <c r="R76" s="2"/>
      <c r="S76" s="2"/>
      <c r="T76" s="1"/>
      <c r="U76" s="2"/>
      <c r="V76" s="2"/>
      <c r="W76" s="2"/>
    </row>
    <row r="77" spans="1:23">
      <c r="A77" s="13">
        <v>7.5</v>
      </c>
      <c r="B77" s="13">
        <f t="shared" si="0"/>
        <v>0</v>
      </c>
      <c r="C77" s="13" t="str">
        <f>IF(B77&gt;=$S$2, A77, "")</f>
        <v/>
      </c>
      <c r="D77" s="13" t="str">
        <f>IF(AND(B77=1, B77&gt;=$S$2), A77, "")</f>
        <v/>
      </c>
      <c r="E77" s="13">
        <f>IF(B77&gt;=$S$2, B77, 0)</f>
        <v>0</v>
      </c>
      <c r="F77" s="13">
        <f t="shared" si="1"/>
        <v>0</v>
      </c>
      <c r="G77" s="13">
        <f t="shared" si="2"/>
        <v>0</v>
      </c>
      <c r="H77" s="13" t="str">
        <f>IF(B77&gt;=$T$2, A77, "")</f>
        <v/>
      </c>
      <c r="I77" s="14" t="e">
        <f t="shared" si="5"/>
        <v>#N/A</v>
      </c>
      <c r="J77" s="14">
        <v>0.5</v>
      </c>
      <c r="K77" s="14" t="e">
        <f t="shared" si="6"/>
        <v>#N/A</v>
      </c>
      <c r="L77" s="14">
        <v>0.4</v>
      </c>
      <c r="N77" s="4"/>
      <c r="O77" s="4"/>
      <c r="P77" s="5"/>
      <c r="Q77" s="1"/>
      <c r="R77" s="2"/>
      <c r="S77" s="2"/>
      <c r="T77" s="1"/>
      <c r="U77" s="2"/>
      <c r="V77" s="2"/>
      <c r="W77" s="2"/>
    </row>
    <row r="78" spans="1:23">
      <c r="A78" s="13">
        <v>7.6</v>
      </c>
      <c r="B78" s="13">
        <f t="shared" si="0"/>
        <v>0</v>
      </c>
      <c r="C78" s="13" t="str">
        <f>IF(B78&gt;=$S$2, A78, "")</f>
        <v/>
      </c>
      <c r="D78" s="13" t="str">
        <f>IF(AND(B78=1, B78&gt;=$S$2), A78, "")</f>
        <v/>
      </c>
      <c r="E78" s="13">
        <f>IF(B78&gt;=$S$2, B78, 0)</f>
        <v>0</v>
      </c>
      <c r="F78" s="13">
        <f t="shared" si="1"/>
        <v>0</v>
      </c>
      <c r="G78" s="13">
        <f t="shared" si="2"/>
        <v>0</v>
      </c>
      <c r="H78" s="13" t="str">
        <f>IF(B78&gt;=$T$2, A78, "")</f>
        <v/>
      </c>
      <c r="I78" s="14" t="e">
        <f t="shared" si="5"/>
        <v>#N/A</v>
      </c>
      <c r="J78" s="14">
        <v>0.5</v>
      </c>
      <c r="K78" s="14" t="e">
        <f t="shared" si="6"/>
        <v>#N/A</v>
      </c>
      <c r="L78" s="14">
        <v>0.4</v>
      </c>
      <c r="N78" s="4"/>
      <c r="O78" s="4"/>
      <c r="P78" s="5"/>
      <c r="Q78" s="1"/>
      <c r="R78" s="2"/>
      <c r="S78" s="2"/>
      <c r="T78" s="1"/>
      <c r="U78" s="2"/>
      <c r="V78" s="2"/>
      <c r="W78" s="2"/>
    </row>
    <row r="79" spans="1:23">
      <c r="A79" s="13">
        <v>7.7</v>
      </c>
      <c r="B79" s="13">
        <f t="shared" si="0"/>
        <v>0</v>
      </c>
      <c r="C79" s="13" t="str">
        <f>IF(B79&gt;=$S$2, A79, "")</f>
        <v/>
      </c>
      <c r="D79" s="13" t="str">
        <f>IF(AND(B79=1, B79&gt;=$S$2), A79, "")</f>
        <v/>
      </c>
      <c r="E79" s="13">
        <f>IF(B79&gt;=$S$2, B79, 0)</f>
        <v>0</v>
      </c>
      <c r="F79" s="13">
        <f t="shared" si="1"/>
        <v>0</v>
      </c>
      <c r="G79" s="13">
        <f t="shared" si="2"/>
        <v>0</v>
      </c>
      <c r="H79" s="13" t="str">
        <f>IF(B79&gt;=$T$2, A79, "")</f>
        <v/>
      </c>
      <c r="I79" s="14" t="e">
        <f t="shared" si="5"/>
        <v>#N/A</v>
      </c>
      <c r="J79" s="14">
        <v>0.5</v>
      </c>
      <c r="K79" s="14" t="e">
        <f t="shared" si="6"/>
        <v>#N/A</v>
      </c>
      <c r="L79" s="14">
        <v>0.4</v>
      </c>
      <c r="N79" s="4"/>
      <c r="O79" s="4"/>
      <c r="P79" s="5"/>
      <c r="Q79" s="1"/>
      <c r="R79" s="2"/>
      <c r="S79" s="2"/>
      <c r="T79" s="1"/>
      <c r="U79" s="2"/>
      <c r="V79" s="2"/>
      <c r="W79" s="2"/>
    </row>
    <row r="80" spans="1:23">
      <c r="A80" s="13">
        <v>7.8</v>
      </c>
      <c r="B80" s="13">
        <f t="shared" si="0"/>
        <v>0</v>
      </c>
      <c r="C80" s="13" t="str">
        <f>IF(B80&gt;=$S$2, A80, "")</f>
        <v/>
      </c>
      <c r="D80" s="13" t="str">
        <f>IF(AND(B80=1, B80&gt;=$S$2), A80, "")</f>
        <v/>
      </c>
      <c r="E80" s="13">
        <f>IF(B80&gt;=$S$2, B80, 0)</f>
        <v>0</v>
      </c>
      <c r="F80" s="13">
        <f t="shared" si="1"/>
        <v>0</v>
      </c>
      <c r="G80" s="13">
        <f t="shared" si="2"/>
        <v>0</v>
      </c>
      <c r="H80" s="13" t="str">
        <f>IF(B80&gt;=$T$2, A80, "")</f>
        <v/>
      </c>
      <c r="I80" s="14" t="e">
        <f t="shared" si="5"/>
        <v>#N/A</v>
      </c>
      <c r="J80" s="14">
        <v>0.5</v>
      </c>
      <c r="K80" s="14" t="e">
        <f t="shared" si="6"/>
        <v>#N/A</v>
      </c>
      <c r="L80" s="14">
        <v>0.4</v>
      </c>
      <c r="N80" s="4"/>
      <c r="O80" s="4"/>
      <c r="P80" s="5"/>
      <c r="Q80" s="1"/>
      <c r="R80" s="2"/>
      <c r="S80" s="2"/>
      <c r="T80" s="1"/>
      <c r="U80" s="2"/>
      <c r="V80" s="2"/>
      <c r="W80" s="2"/>
    </row>
    <row r="81" spans="1:23">
      <c r="A81" s="13">
        <v>7.9</v>
      </c>
      <c r="B81" s="13">
        <f t="shared" si="0"/>
        <v>0</v>
      </c>
      <c r="C81" s="13" t="str">
        <f>IF(B81&gt;=$S$2, A81, "")</f>
        <v/>
      </c>
      <c r="D81" s="13" t="str">
        <f>IF(AND(B81=1, B81&gt;=$S$2), A81, "")</f>
        <v/>
      </c>
      <c r="E81" s="13">
        <f>IF(B81&gt;=$S$2, B81, 0)</f>
        <v>0</v>
      </c>
      <c r="F81" s="13">
        <f t="shared" si="1"/>
        <v>0</v>
      </c>
      <c r="G81" s="13">
        <f t="shared" si="2"/>
        <v>0</v>
      </c>
      <c r="H81" s="13" t="str">
        <f>IF(B81&gt;=$T$2, A81, "")</f>
        <v/>
      </c>
      <c r="I81" s="14" t="e">
        <f t="shared" si="5"/>
        <v>#N/A</v>
      </c>
      <c r="J81" s="14">
        <v>0.5</v>
      </c>
      <c r="K81" s="14" t="e">
        <f t="shared" si="6"/>
        <v>#N/A</v>
      </c>
      <c r="L81" s="14">
        <v>0.4</v>
      </c>
      <c r="N81" s="4"/>
      <c r="O81" s="4"/>
      <c r="P81" s="5"/>
      <c r="Q81" s="1"/>
      <c r="R81" s="2"/>
      <c r="S81" s="2"/>
      <c r="T81" s="1"/>
      <c r="U81" s="2"/>
      <c r="V81" s="2"/>
      <c r="W81" s="2"/>
    </row>
    <row r="82" spans="1:23">
      <c r="A82" s="13">
        <v>8</v>
      </c>
      <c r="B82" s="13">
        <f t="shared" si="0"/>
        <v>0</v>
      </c>
      <c r="C82" s="13" t="str">
        <f>IF(B82&gt;=$S$2, A82, "")</f>
        <v/>
      </c>
      <c r="D82" s="13" t="str">
        <f>IF(AND(B82=1, B82&gt;=$S$2), A82, "")</f>
        <v/>
      </c>
      <c r="E82" s="13">
        <f>IF(B82&gt;=$S$2, B82, 0)</f>
        <v>0</v>
      </c>
      <c r="F82" s="13">
        <f t="shared" si="1"/>
        <v>0</v>
      </c>
      <c r="G82" s="13">
        <f t="shared" si="2"/>
        <v>0</v>
      </c>
      <c r="H82" s="13" t="str">
        <f>IF(B82&gt;=$T$2, A82, "")</f>
        <v/>
      </c>
      <c r="I82" s="14" t="e">
        <f t="shared" si="5"/>
        <v>#N/A</v>
      </c>
      <c r="J82" s="14">
        <v>0.5</v>
      </c>
      <c r="K82" s="14" t="e">
        <f t="shared" si="6"/>
        <v>#N/A</v>
      </c>
      <c r="L82" s="14">
        <v>0.4</v>
      </c>
      <c r="N82" s="4"/>
      <c r="O82" s="4"/>
      <c r="P82" s="5"/>
      <c r="Q82" s="1"/>
      <c r="R82" s="2"/>
      <c r="S82" s="2"/>
      <c r="T82" s="1"/>
      <c r="U82" s="2"/>
      <c r="V82" s="2"/>
      <c r="W82" s="2"/>
    </row>
    <row r="83" spans="1:23">
      <c r="A83" s="13">
        <v>8.1</v>
      </c>
      <c r="B83" s="13">
        <f t="shared" si="0"/>
        <v>0</v>
      </c>
      <c r="C83" s="13" t="str">
        <f>IF(B83&gt;=$S$2, A83, "")</f>
        <v/>
      </c>
      <c r="D83" s="13" t="str">
        <f>IF(AND(B83=1, B83&gt;=$S$2), A83, "")</f>
        <v/>
      </c>
      <c r="E83" s="13">
        <f>IF(B83&gt;=$S$2, B83, 0)</f>
        <v>0</v>
      </c>
      <c r="F83" s="13">
        <f t="shared" si="1"/>
        <v>0</v>
      </c>
      <c r="G83" s="13">
        <f t="shared" si="2"/>
        <v>0</v>
      </c>
      <c r="H83" s="13" t="str">
        <f>IF(B83&gt;=$T$2, A83, "")</f>
        <v/>
      </c>
      <c r="I83" s="14" t="e">
        <f t="shared" si="5"/>
        <v>#N/A</v>
      </c>
      <c r="J83" s="14">
        <v>0.5</v>
      </c>
      <c r="K83" s="14" t="e">
        <f t="shared" si="6"/>
        <v>#N/A</v>
      </c>
      <c r="L83" s="14">
        <v>0.4</v>
      </c>
      <c r="N83" s="4"/>
      <c r="O83" s="4"/>
      <c r="P83" s="5"/>
      <c r="Q83" s="1"/>
      <c r="R83" s="2"/>
      <c r="S83" s="2"/>
      <c r="T83" s="1"/>
      <c r="U83" s="2"/>
      <c r="V83" s="2"/>
      <c r="W83" s="2"/>
    </row>
    <row r="84" spans="1:23">
      <c r="A84" s="13">
        <v>8.1999999999999993</v>
      </c>
      <c r="B84" s="13">
        <f t="shared" si="0"/>
        <v>0</v>
      </c>
      <c r="C84" s="13" t="str">
        <f>IF(B84&gt;=$S$2, A84, "")</f>
        <v/>
      </c>
      <c r="D84" s="13" t="str">
        <f>IF(AND(B84=1, B84&gt;=$S$2), A84, "")</f>
        <v/>
      </c>
      <c r="E84" s="13">
        <f>IF(B84&gt;=$S$2, B84, 0)</f>
        <v>0</v>
      </c>
      <c r="F84" s="13">
        <f t="shared" si="1"/>
        <v>0</v>
      </c>
      <c r="G84" s="13">
        <f t="shared" si="2"/>
        <v>0</v>
      </c>
      <c r="H84" s="13" t="str">
        <f>IF(B84&gt;=$T$2, A84, "")</f>
        <v/>
      </c>
      <c r="I84" s="14" t="e">
        <f t="shared" si="5"/>
        <v>#N/A</v>
      </c>
      <c r="J84" s="14">
        <v>0.5</v>
      </c>
      <c r="K84" s="14" t="e">
        <f t="shared" si="6"/>
        <v>#N/A</v>
      </c>
      <c r="L84" s="14">
        <v>0.4</v>
      </c>
      <c r="N84" s="4"/>
      <c r="O84" s="4"/>
      <c r="P84" s="5"/>
      <c r="Q84" s="1"/>
      <c r="R84" s="2"/>
      <c r="S84" s="2"/>
      <c r="T84" s="1"/>
      <c r="U84" s="2"/>
      <c r="V84" s="2"/>
      <c r="W84" s="2"/>
    </row>
    <row r="85" spans="1:23">
      <c r="A85" s="13">
        <v>8.3000000000000007</v>
      </c>
      <c r="B85" s="13">
        <f t="shared" si="0"/>
        <v>0</v>
      </c>
      <c r="C85" s="13" t="str">
        <f>IF(B85&gt;=$S$2, A85, "")</f>
        <v/>
      </c>
      <c r="D85" s="13" t="str">
        <f>IF(AND(B85=1, B85&gt;=$S$2), A85, "")</f>
        <v/>
      </c>
      <c r="E85" s="13">
        <f>IF(B85&gt;=$S$2, B85, 0)</f>
        <v>0</v>
      </c>
      <c r="F85" s="13">
        <f t="shared" si="1"/>
        <v>0</v>
      </c>
      <c r="G85" s="13">
        <f t="shared" si="2"/>
        <v>0</v>
      </c>
      <c r="H85" s="13" t="str">
        <f>IF(B85&gt;=$T$2, A85, "")</f>
        <v/>
      </c>
      <c r="I85" s="14" t="e">
        <f t="shared" si="5"/>
        <v>#N/A</v>
      </c>
      <c r="J85" s="14">
        <v>0.5</v>
      </c>
      <c r="K85" s="14" t="e">
        <f t="shared" si="6"/>
        <v>#N/A</v>
      </c>
      <c r="L85" s="14">
        <v>0.4</v>
      </c>
      <c r="N85" s="4"/>
      <c r="O85" s="4"/>
      <c r="P85" s="5"/>
      <c r="Q85" s="1"/>
      <c r="R85" s="2"/>
      <c r="S85" s="2"/>
      <c r="T85" s="1"/>
      <c r="U85" s="2"/>
      <c r="V85" s="2"/>
      <c r="W85" s="2"/>
    </row>
    <row r="86" spans="1:23">
      <c r="A86" s="13">
        <v>8.4</v>
      </c>
      <c r="B86" s="13">
        <f t="shared" si="0"/>
        <v>0</v>
      </c>
      <c r="C86" s="13" t="str">
        <f>IF(B86&gt;=$S$2, A86, "")</f>
        <v/>
      </c>
      <c r="D86" s="13" t="str">
        <f>IF(AND(B86=1, B86&gt;=$S$2), A86, "")</f>
        <v/>
      </c>
      <c r="E86" s="13">
        <f>IF(B86&gt;=$S$2, B86, 0)</f>
        <v>0</v>
      </c>
      <c r="F86" s="13">
        <f t="shared" si="1"/>
        <v>0</v>
      </c>
      <c r="G86" s="13">
        <f t="shared" si="2"/>
        <v>0</v>
      </c>
      <c r="H86" s="13" t="str">
        <f>IF(B86&gt;=$T$2, A86, "")</f>
        <v/>
      </c>
      <c r="I86" s="14" t="e">
        <f t="shared" si="5"/>
        <v>#N/A</v>
      </c>
      <c r="J86" s="14">
        <v>0.5</v>
      </c>
      <c r="K86" s="14" t="e">
        <f t="shared" si="6"/>
        <v>#N/A</v>
      </c>
      <c r="L86" s="14">
        <v>0.4</v>
      </c>
      <c r="N86" s="4"/>
      <c r="O86" s="4"/>
      <c r="P86" s="5"/>
      <c r="Q86" s="1"/>
      <c r="R86" s="2"/>
      <c r="S86" s="2"/>
      <c r="T86" s="1"/>
      <c r="U86" s="2"/>
      <c r="V86" s="2"/>
      <c r="W86" s="2"/>
    </row>
    <row r="87" spans="1:23">
      <c r="A87" s="13">
        <v>8.5</v>
      </c>
      <c r="B87" s="13">
        <f t="shared" si="0"/>
        <v>0</v>
      </c>
      <c r="C87" s="13" t="str">
        <f>IF(B87&gt;=$S$2, A87, "")</f>
        <v/>
      </c>
      <c r="D87" s="13" t="str">
        <f>IF(AND(B87=1, B87&gt;=$S$2), A87, "")</f>
        <v/>
      </c>
      <c r="E87" s="13">
        <f>IF(B87&gt;=$S$2, B87, 0)</f>
        <v>0</v>
      </c>
      <c r="F87" s="13">
        <f t="shared" si="1"/>
        <v>0</v>
      </c>
      <c r="G87" s="13">
        <f t="shared" si="2"/>
        <v>0</v>
      </c>
      <c r="H87" s="13" t="str">
        <f>IF(B87&gt;=$T$2, A87, "")</f>
        <v/>
      </c>
      <c r="I87" s="14" t="e">
        <f t="shared" si="5"/>
        <v>#N/A</v>
      </c>
      <c r="J87" s="14">
        <v>0.5</v>
      </c>
      <c r="K87" s="14" t="e">
        <f t="shared" si="6"/>
        <v>#N/A</v>
      </c>
      <c r="L87" s="14">
        <v>0.4</v>
      </c>
      <c r="N87" s="4"/>
      <c r="O87" s="4"/>
      <c r="P87" s="5"/>
      <c r="Q87" s="1"/>
      <c r="R87" s="2"/>
      <c r="S87" s="2"/>
      <c r="T87" s="1"/>
      <c r="U87" s="2"/>
      <c r="V87" s="2"/>
      <c r="W87" s="2"/>
    </row>
    <row r="88" spans="1:23">
      <c r="A88" s="13">
        <v>8.6</v>
      </c>
      <c r="B88" s="13">
        <f t="shared" si="0"/>
        <v>0</v>
      </c>
      <c r="C88" s="13" t="str">
        <f>IF(B88&gt;=$S$2, A88, "")</f>
        <v/>
      </c>
      <c r="D88" s="13" t="str">
        <f>IF(AND(B88=1, B88&gt;=$S$2), A88, "")</f>
        <v/>
      </c>
      <c r="E88" s="13">
        <f>IF(B88&gt;=$S$2, B88, 0)</f>
        <v>0</v>
      </c>
      <c r="F88" s="13">
        <f t="shared" si="1"/>
        <v>0</v>
      </c>
      <c r="G88" s="13">
        <f t="shared" si="2"/>
        <v>0</v>
      </c>
      <c r="H88" s="13" t="str">
        <f>IF(B88&gt;=$T$2, A88, "")</f>
        <v/>
      </c>
      <c r="I88" s="14" t="e">
        <f t="shared" si="5"/>
        <v>#N/A</v>
      </c>
      <c r="J88" s="14">
        <v>0.5</v>
      </c>
      <c r="K88" s="14" t="e">
        <f t="shared" si="6"/>
        <v>#N/A</v>
      </c>
      <c r="L88" s="14">
        <v>0.4</v>
      </c>
      <c r="N88" s="4"/>
      <c r="O88" s="4"/>
      <c r="P88" s="5"/>
      <c r="Q88" s="1"/>
      <c r="R88" s="2"/>
      <c r="S88" s="2"/>
      <c r="T88" s="1"/>
      <c r="U88" s="2"/>
      <c r="V88" s="2"/>
      <c r="W88" s="2"/>
    </row>
    <row r="89" spans="1:23">
      <c r="A89" s="13">
        <v>8.6999999999999993</v>
      </c>
      <c r="B89" s="13">
        <f t="shared" si="0"/>
        <v>0</v>
      </c>
      <c r="C89" s="13" t="str">
        <f>IF(B89&gt;=$S$2, A89, "")</f>
        <v/>
      </c>
      <c r="D89" s="13" t="str">
        <f>IF(AND(B89=1, B89&gt;=$S$2), A89, "")</f>
        <v/>
      </c>
      <c r="E89" s="13">
        <f>IF(B89&gt;=$S$2, B89, 0)</f>
        <v>0</v>
      </c>
      <c r="F89" s="13">
        <f t="shared" si="1"/>
        <v>0</v>
      </c>
      <c r="G89" s="13">
        <f t="shared" si="2"/>
        <v>0</v>
      </c>
      <c r="H89" s="13" t="str">
        <f>IF(B89&gt;=$T$2, A89, "")</f>
        <v/>
      </c>
      <c r="I89" s="14" t="e">
        <f t="shared" si="5"/>
        <v>#N/A</v>
      </c>
      <c r="J89" s="14">
        <v>0.5</v>
      </c>
      <c r="K89" s="14" t="e">
        <f t="shared" si="6"/>
        <v>#N/A</v>
      </c>
      <c r="L89" s="14">
        <v>0.4</v>
      </c>
      <c r="N89" s="4"/>
      <c r="O89" s="4"/>
      <c r="P89" s="5"/>
      <c r="Q89" s="1"/>
      <c r="R89" s="2"/>
      <c r="S89" s="2"/>
      <c r="T89" s="1"/>
      <c r="U89" s="2"/>
      <c r="V89" s="2"/>
      <c r="W89" s="2"/>
    </row>
    <row r="90" spans="1:23">
      <c r="A90" s="13">
        <v>8.8000000000000007</v>
      </c>
      <c r="B90" s="13">
        <f t="shared" si="0"/>
        <v>0</v>
      </c>
      <c r="C90" s="13" t="str">
        <f>IF(B90&gt;=$S$2, A90, "")</f>
        <v/>
      </c>
      <c r="D90" s="13" t="str">
        <f>IF(AND(B90=1, B90&gt;=$S$2), A90, "")</f>
        <v/>
      </c>
      <c r="E90" s="13">
        <f>IF(B90&gt;=$S$2, B90, 0)</f>
        <v>0</v>
      </c>
      <c r="F90" s="13">
        <f t="shared" si="1"/>
        <v>0</v>
      </c>
      <c r="G90" s="13">
        <f t="shared" si="2"/>
        <v>0</v>
      </c>
      <c r="H90" s="13" t="str">
        <f>IF(B90&gt;=$T$2, A90, "")</f>
        <v/>
      </c>
      <c r="I90" s="14" t="e">
        <f t="shared" si="5"/>
        <v>#N/A</v>
      </c>
      <c r="J90" s="14">
        <v>0.5</v>
      </c>
      <c r="K90" s="14" t="e">
        <f t="shared" si="6"/>
        <v>#N/A</v>
      </c>
      <c r="L90" s="14">
        <v>0.4</v>
      </c>
      <c r="N90" s="4"/>
      <c r="O90" s="4"/>
      <c r="P90" s="5"/>
      <c r="Q90" s="1"/>
      <c r="R90" s="2"/>
      <c r="S90" s="2"/>
      <c r="T90" s="1"/>
      <c r="U90" s="2"/>
      <c r="V90" s="2"/>
      <c r="W90" s="2"/>
    </row>
    <row r="91" spans="1:23">
      <c r="A91" s="13">
        <v>8.9</v>
      </c>
      <c r="B91" s="13">
        <f t="shared" si="0"/>
        <v>0</v>
      </c>
      <c r="C91" s="13" t="str">
        <f>IF(B91&gt;=$S$2, A91, "")</f>
        <v/>
      </c>
      <c r="D91" s="13" t="str">
        <f>IF(AND(B91=1, B91&gt;=$S$2), A91, "")</f>
        <v/>
      </c>
      <c r="E91" s="13">
        <f>IF(B91&gt;=$S$2, B91, 0)</f>
        <v>0</v>
      </c>
      <c r="F91" s="13">
        <f t="shared" si="1"/>
        <v>0</v>
      </c>
      <c r="G91" s="13">
        <f t="shared" si="2"/>
        <v>0</v>
      </c>
      <c r="H91" s="13" t="str">
        <f>IF(B91&gt;=$T$2, A91, "")</f>
        <v/>
      </c>
      <c r="I91" s="14" t="e">
        <f t="shared" si="5"/>
        <v>#N/A</v>
      </c>
      <c r="J91" s="14">
        <v>0.5</v>
      </c>
      <c r="K91" s="14" t="e">
        <f t="shared" si="6"/>
        <v>#N/A</v>
      </c>
      <c r="L91" s="14">
        <v>0.4</v>
      </c>
      <c r="N91" s="4"/>
      <c r="O91" s="4"/>
      <c r="P91" s="5"/>
      <c r="Q91" s="1"/>
      <c r="R91" s="2"/>
      <c r="S91" s="2"/>
      <c r="T91" s="1"/>
      <c r="U91" s="2"/>
      <c r="V91" s="2"/>
      <c r="W91" s="2"/>
    </row>
    <row r="92" spans="1:23">
      <c r="A92" s="13">
        <v>9</v>
      </c>
      <c r="B92" s="13">
        <f t="shared" si="0"/>
        <v>0</v>
      </c>
      <c r="C92" s="13" t="str">
        <f>IF(B92&gt;=$S$2, A92, "")</f>
        <v/>
      </c>
      <c r="D92" s="13" t="str">
        <f>IF(AND(B92=1, B92&gt;=$S$2), A92, "")</f>
        <v/>
      </c>
      <c r="E92" s="13">
        <f>IF(B92&gt;=$S$2, B92, 0)</f>
        <v>0</v>
      </c>
      <c r="F92" s="13">
        <f t="shared" si="1"/>
        <v>0</v>
      </c>
      <c r="G92" s="13">
        <f t="shared" si="2"/>
        <v>0</v>
      </c>
      <c r="H92" s="13" t="str">
        <f>IF(B92&gt;=$T$2, A92, "")</f>
        <v/>
      </c>
      <c r="I92" s="14" t="e">
        <f t="shared" si="5"/>
        <v>#N/A</v>
      </c>
      <c r="J92" s="14">
        <v>0.5</v>
      </c>
      <c r="K92" s="14" t="e">
        <f t="shared" si="6"/>
        <v>#N/A</v>
      </c>
      <c r="L92" s="14">
        <v>0.4</v>
      </c>
      <c r="N92" s="4"/>
      <c r="O92" s="4"/>
      <c r="P92" s="5"/>
      <c r="Q92" s="1"/>
      <c r="R92" s="2"/>
      <c r="S92" s="2"/>
      <c r="T92" s="1"/>
      <c r="U92" s="2"/>
      <c r="V92" s="2"/>
      <c r="W92" s="2"/>
    </row>
    <row r="93" spans="1:23">
      <c r="A93" s="13">
        <v>9.1</v>
      </c>
      <c r="B93" s="13">
        <f t="shared" si="0"/>
        <v>0</v>
      </c>
      <c r="C93" s="13" t="str">
        <f>IF(B93&gt;=$S$2, A93, "")</f>
        <v/>
      </c>
      <c r="D93" s="13" t="str">
        <f>IF(AND(B93=1, B93&gt;=$S$2), A93, "")</f>
        <v/>
      </c>
      <c r="E93" s="13">
        <f>IF(B93&gt;=$S$2, B93, 0)</f>
        <v>0</v>
      </c>
      <c r="F93" s="13">
        <f t="shared" si="1"/>
        <v>0</v>
      </c>
      <c r="G93" s="13">
        <f t="shared" si="2"/>
        <v>0</v>
      </c>
      <c r="H93" s="13" t="str">
        <f>IF(B93&gt;=$T$2, A93, "")</f>
        <v/>
      </c>
      <c r="I93" s="14" t="e">
        <f t="shared" si="5"/>
        <v>#N/A</v>
      </c>
      <c r="J93" s="14">
        <v>0.5</v>
      </c>
      <c r="K93" s="14" t="e">
        <f t="shared" si="6"/>
        <v>#N/A</v>
      </c>
      <c r="L93" s="14">
        <v>0.4</v>
      </c>
      <c r="N93" s="4"/>
      <c r="O93" s="4"/>
      <c r="P93" s="5"/>
      <c r="Q93" s="1"/>
      <c r="R93" s="2"/>
      <c r="S93" s="2"/>
      <c r="T93" s="1"/>
      <c r="U93" s="2"/>
      <c r="V93" s="2"/>
      <c r="W93" s="2"/>
    </row>
    <row r="94" spans="1:23">
      <c r="A94" s="13">
        <v>9.1999999999999993</v>
      </c>
      <c r="B94" s="13">
        <f t="shared" si="0"/>
        <v>0</v>
      </c>
      <c r="C94" s="13" t="str">
        <f>IF(B94&gt;=$S$2, A94, "")</f>
        <v/>
      </c>
      <c r="D94" s="13" t="str">
        <f>IF(AND(B94=1, B94&gt;=$S$2), A94, "")</f>
        <v/>
      </c>
      <c r="E94" s="13">
        <f>IF(B94&gt;=$S$2, B94, 0)</f>
        <v>0</v>
      </c>
      <c r="F94" s="13">
        <f t="shared" si="1"/>
        <v>0</v>
      </c>
      <c r="G94" s="13">
        <f t="shared" si="2"/>
        <v>0</v>
      </c>
      <c r="H94" s="13" t="str">
        <f>IF(B94&gt;=$T$2, A94, "")</f>
        <v/>
      </c>
      <c r="I94" s="14" t="e">
        <f t="shared" si="5"/>
        <v>#N/A</v>
      </c>
      <c r="J94" s="14">
        <v>0.5</v>
      </c>
      <c r="K94" s="14" t="e">
        <f t="shared" si="6"/>
        <v>#N/A</v>
      </c>
      <c r="L94" s="14">
        <v>0.4</v>
      </c>
      <c r="N94" s="4"/>
      <c r="O94" s="4"/>
      <c r="P94" s="5"/>
      <c r="Q94" s="1"/>
      <c r="R94" s="2"/>
      <c r="S94" s="2"/>
      <c r="T94" s="1"/>
      <c r="U94" s="2"/>
      <c r="V94" s="2"/>
      <c r="W94" s="2"/>
    </row>
    <row r="95" spans="1:23">
      <c r="A95" s="13">
        <v>9.3000000000000007</v>
      </c>
      <c r="B95" s="13">
        <f t="shared" si="0"/>
        <v>0</v>
      </c>
      <c r="C95" s="13" t="str">
        <f>IF(B95&gt;=$S$2, A95, "")</f>
        <v/>
      </c>
      <c r="D95" s="13" t="str">
        <f>IF(AND(B95=1, B95&gt;=$S$2), A95, "")</f>
        <v/>
      </c>
      <c r="E95" s="13">
        <f>IF(B95&gt;=$S$2, B95, 0)</f>
        <v>0</v>
      </c>
      <c r="F95" s="13">
        <f t="shared" si="1"/>
        <v>0</v>
      </c>
      <c r="G95" s="13">
        <f t="shared" si="2"/>
        <v>0</v>
      </c>
      <c r="H95" s="13" t="str">
        <f>IF(B95&gt;=$T$2, A95, "")</f>
        <v/>
      </c>
      <c r="I95" s="14" t="e">
        <f t="shared" si="5"/>
        <v>#N/A</v>
      </c>
      <c r="J95" s="14">
        <v>0.5</v>
      </c>
      <c r="K95" s="14" t="e">
        <f t="shared" si="6"/>
        <v>#N/A</v>
      </c>
      <c r="L95" s="14">
        <v>0.4</v>
      </c>
      <c r="N95" s="4"/>
      <c r="O95" s="4"/>
      <c r="P95" s="5"/>
      <c r="Q95" s="1"/>
      <c r="R95" s="2"/>
      <c r="S95" s="2"/>
      <c r="T95" s="1"/>
      <c r="U95" s="2"/>
      <c r="V95" s="2"/>
      <c r="W95" s="2"/>
    </row>
    <row r="96" spans="1:23">
      <c r="A96" s="13">
        <v>9.4</v>
      </c>
      <c r="B96" s="13">
        <f t="shared" si="0"/>
        <v>0</v>
      </c>
      <c r="C96" s="13" t="str">
        <f>IF(B96&gt;=$S$2, A96, "")</f>
        <v/>
      </c>
      <c r="D96" s="13" t="str">
        <f>IF(AND(B96=1, B96&gt;=$S$2), A96, "")</f>
        <v/>
      </c>
      <c r="E96" s="13">
        <f>IF(B96&gt;=$S$2, B96, 0)</f>
        <v>0</v>
      </c>
      <c r="F96" s="13">
        <f t="shared" si="1"/>
        <v>0</v>
      </c>
      <c r="G96" s="13">
        <f t="shared" si="2"/>
        <v>0</v>
      </c>
      <c r="H96" s="13" t="str">
        <f>IF(B96&gt;=$T$2, A96, "")</f>
        <v/>
      </c>
      <c r="I96" s="14" t="e">
        <f t="shared" si="5"/>
        <v>#N/A</v>
      </c>
      <c r="J96" s="14">
        <v>0.5</v>
      </c>
      <c r="K96" s="14" t="e">
        <f t="shared" si="6"/>
        <v>#N/A</v>
      </c>
      <c r="L96" s="14">
        <v>0.4</v>
      </c>
      <c r="N96" s="4"/>
      <c r="O96" s="4"/>
      <c r="P96" s="5"/>
      <c r="Q96" s="1"/>
      <c r="R96" s="2"/>
      <c r="S96" s="2"/>
      <c r="T96" s="1"/>
      <c r="U96" s="2"/>
      <c r="V96" s="2"/>
      <c r="W96" s="2"/>
    </row>
    <row r="97" spans="1:23">
      <c r="A97" s="13">
        <v>9.5</v>
      </c>
      <c r="B97" s="13">
        <f t="shared" si="0"/>
        <v>0</v>
      </c>
      <c r="C97" s="13" t="str">
        <f>IF(B97&gt;=$S$2, A97, "")</f>
        <v/>
      </c>
      <c r="D97" s="13" t="str">
        <f>IF(AND(B97=1, B97&gt;=$S$2), A97, "")</f>
        <v/>
      </c>
      <c r="E97" s="13">
        <f>IF(B97&gt;=$S$2, B97, 0)</f>
        <v>0</v>
      </c>
      <c r="F97" s="13">
        <f t="shared" si="1"/>
        <v>0</v>
      </c>
      <c r="G97" s="13">
        <f t="shared" si="2"/>
        <v>0</v>
      </c>
      <c r="H97" s="13" t="str">
        <f>IF(B97&gt;=$T$2, A97, "")</f>
        <v/>
      </c>
      <c r="I97" s="14" t="e">
        <f t="shared" si="5"/>
        <v>#N/A</v>
      </c>
      <c r="J97" s="14">
        <v>0.5</v>
      </c>
      <c r="K97" s="14" t="e">
        <f t="shared" si="6"/>
        <v>#N/A</v>
      </c>
      <c r="L97" s="14">
        <v>0.4</v>
      </c>
      <c r="N97" s="4"/>
      <c r="O97" s="4"/>
      <c r="P97" s="5"/>
      <c r="Q97" s="1"/>
      <c r="R97" s="2"/>
      <c r="S97" s="2"/>
      <c r="T97" s="1"/>
      <c r="U97" s="2"/>
      <c r="V97" s="2"/>
      <c r="W97" s="2"/>
    </row>
    <row r="98" spans="1:23">
      <c r="A98" s="13">
        <v>9.6</v>
      </c>
      <c r="B98" s="13">
        <f t="shared" si="0"/>
        <v>0</v>
      </c>
      <c r="C98" s="13" t="str">
        <f>IF(B98&gt;=$S$2, A98, "")</f>
        <v/>
      </c>
      <c r="D98" s="13" t="str">
        <f>IF(AND(B98=1, B98&gt;=$S$2), A98, "")</f>
        <v/>
      </c>
      <c r="E98" s="13">
        <f>IF(B98&gt;=$S$2, B98, 0)</f>
        <v>0</v>
      </c>
      <c r="F98" s="13">
        <f t="shared" si="1"/>
        <v>0</v>
      </c>
      <c r="G98" s="13">
        <f t="shared" si="2"/>
        <v>0</v>
      </c>
      <c r="H98" s="13" t="str">
        <f>IF(B98&gt;=$T$2, A98, "")</f>
        <v/>
      </c>
      <c r="I98" s="14" t="e">
        <f t="shared" si="5"/>
        <v>#N/A</v>
      </c>
      <c r="J98" s="14">
        <v>0.5</v>
      </c>
      <c r="K98" s="14" t="e">
        <f t="shared" si="6"/>
        <v>#N/A</v>
      </c>
      <c r="L98" s="14">
        <v>0.4</v>
      </c>
      <c r="N98" s="4"/>
      <c r="O98" s="4"/>
      <c r="P98" s="5"/>
      <c r="Q98" s="1"/>
      <c r="R98" s="2"/>
      <c r="S98" s="2"/>
      <c r="T98" s="1"/>
      <c r="U98" s="2"/>
      <c r="V98" s="2"/>
      <c r="W98" s="2"/>
    </row>
    <row r="99" spans="1:23">
      <c r="A99" s="13">
        <v>9.6999999999999993</v>
      </c>
      <c r="B99" s="13">
        <f t="shared" si="0"/>
        <v>0</v>
      </c>
      <c r="C99" s="13" t="str">
        <f>IF(B99&gt;=$S$2, A99, "")</f>
        <v/>
      </c>
      <c r="D99" s="13" t="str">
        <f>IF(AND(B99=1, B99&gt;=$S$2), A99, "")</f>
        <v/>
      </c>
      <c r="E99" s="13">
        <f>IF(B99&gt;=$S$2, B99, 0)</f>
        <v>0</v>
      </c>
      <c r="F99" s="13">
        <f t="shared" si="1"/>
        <v>0</v>
      </c>
      <c r="G99" s="13">
        <f t="shared" si="2"/>
        <v>0</v>
      </c>
      <c r="H99" s="13" t="str">
        <f>IF(B99&gt;=$T$2, A99, "")</f>
        <v/>
      </c>
      <c r="I99" s="14" t="e">
        <f t="shared" si="5"/>
        <v>#N/A</v>
      </c>
      <c r="J99" s="14">
        <v>0.5</v>
      </c>
      <c r="K99" s="14" t="e">
        <f t="shared" si="6"/>
        <v>#N/A</v>
      </c>
      <c r="L99" s="14">
        <v>0.4</v>
      </c>
      <c r="N99" s="4"/>
      <c r="O99" s="4"/>
      <c r="P99" s="5"/>
      <c r="Q99" s="1"/>
      <c r="R99" s="2"/>
      <c r="S99" s="2"/>
      <c r="T99" s="1"/>
      <c r="U99" s="2"/>
      <c r="V99" s="2"/>
      <c r="W99" s="2"/>
    </row>
    <row r="100" spans="1:23">
      <c r="A100" s="13">
        <v>9.8000000000000007</v>
      </c>
      <c r="B100" s="13">
        <f t="shared" si="0"/>
        <v>0</v>
      </c>
      <c r="C100" s="13" t="str">
        <f>IF(B100&gt;=$S$2, A100, "")</f>
        <v/>
      </c>
      <c r="D100" s="13" t="str">
        <f>IF(AND(B100=1, B100&gt;=$S$2), A100, "")</f>
        <v/>
      </c>
      <c r="E100" s="13">
        <f>IF(B100&gt;=$S$2, B100, 0)</f>
        <v>0</v>
      </c>
      <c r="F100" s="13">
        <f t="shared" si="1"/>
        <v>0</v>
      </c>
      <c r="G100" s="13">
        <f t="shared" si="2"/>
        <v>0</v>
      </c>
      <c r="H100" s="13" t="str">
        <f>IF(B100&gt;=$T$2, A100, "")</f>
        <v/>
      </c>
      <c r="I100" s="14" t="e">
        <f t="shared" si="5"/>
        <v>#N/A</v>
      </c>
      <c r="J100" s="14">
        <v>0.5</v>
      </c>
      <c r="K100" s="14" t="e">
        <f t="shared" si="6"/>
        <v>#N/A</v>
      </c>
      <c r="L100" s="14">
        <v>0.4</v>
      </c>
      <c r="N100" s="4"/>
      <c r="O100" s="4"/>
      <c r="P100" s="5"/>
      <c r="Q100" s="1"/>
      <c r="R100" s="2"/>
      <c r="S100" s="2"/>
      <c r="T100" s="1"/>
      <c r="U100" s="2"/>
      <c r="V100" s="2"/>
      <c r="W100" s="2"/>
    </row>
    <row r="101" spans="1:23">
      <c r="A101" s="13">
        <v>9.9</v>
      </c>
      <c r="B101" s="13">
        <f t="shared" si="0"/>
        <v>0</v>
      </c>
      <c r="C101" s="13" t="str">
        <f>IF(B101&gt;=$S$2, A101, "")</f>
        <v/>
      </c>
      <c r="D101" s="13" t="str">
        <f>IF(AND(B101=1, B101&gt;=$S$2), A101, "")</f>
        <v/>
      </c>
      <c r="E101" s="13">
        <f>IF(B101&gt;=$S$2, B101, 0)</f>
        <v>0</v>
      </c>
      <c r="F101" s="13">
        <f t="shared" si="1"/>
        <v>0</v>
      </c>
      <c r="G101" s="13">
        <f t="shared" si="2"/>
        <v>0</v>
      </c>
      <c r="H101" s="13" t="str">
        <f>IF(B101&gt;=$T$2, A101, "")</f>
        <v/>
      </c>
      <c r="I101" s="14" t="e">
        <f t="shared" si="5"/>
        <v>#N/A</v>
      </c>
      <c r="J101" s="14">
        <v>0.5</v>
      </c>
      <c r="K101" s="14" t="e">
        <f t="shared" si="6"/>
        <v>#N/A</v>
      </c>
      <c r="L101" s="14">
        <v>0.4</v>
      </c>
      <c r="N101" s="4"/>
      <c r="O101" s="4"/>
      <c r="P101" s="5"/>
      <c r="Q101" s="1"/>
      <c r="R101" s="2"/>
      <c r="S101" s="2"/>
      <c r="T101" s="1"/>
      <c r="U101" s="2"/>
      <c r="V101" s="2"/>
      <c r="W101" s="2"/>
    </row>
    <row r="102" spans="1:23">
      <c r="A102" s="13">
        <v>10</v>
      </c>
      <c r="B102" s="13">
        <f t="shared" si="0"/>
        <v>0</v>
      </c>
      <c r="C102" s="13" t="str">
        <f>IF(B102&gt;=$S$2, A102, "")</f>
        <v/>
      </c>
      <c r="D102" s="13" t="str">
        <f>IF(AND(B102=1, B102&gt;=$S$2), A102, "")</f>
        <v/>
      </c>
      <c r="E102" s="13">
        <f>IF(B102&gt;=$S$2, B102, 0)</f>
        <v>0</v>
      </c>
      <c r="F102" s="13">
        <f t="shared" si="1"/>
        <v>0</v>
      </c>
      <c r="G102" s="13">
        <f t="shared" si="2"/>
        <v>0</v>
      </c>
      <c r="H102" s="13" t="str">
        <f>IF(B102&gt;=$T$2, A102, "")</f>
        <v/>
      </c>
      <c r="I102" s="14" t="e">
        <f t="shared" si="5"/>
        <v>#N/A</v>
      </c>
      <c r="J102" s="14">
        <v>0.5</v>
      </c>
      <c r="K102" s="14" t="e">
        <f t="shared" si="6"/>
        <v>#N/A</v>
      </c>
      <c r="L102" s="14">
        <v>0.4</v>
      </c>
      <c r="N102" s="4"/>
      <c r="O102" s="4"/>
      <c r="P102" s="5"/>
      <c r="Q102" s="1"/>
      <c r="R102" s="2"/>
      <c r="S102" s="2"/>
      <c r="T102" s="1"/>
      <c r="U102" s="2"/>
      <c r="V102" s="2"/>
      <c r="W102" s="2"/>
    </row>
    <row r="103" spans="1:23">
      <c r="A103" s="13">
        <v>10.1</v>
      </c>
      <c r="B103" s="13">
        <f t="shared" si="0"/>
        <v>0</v>
      </c>
      <c r="C103" s="13" t="str">
        <f>IF(B103&gt;=$S$2, A103, "")</f>
        <v/>
      </c>
      <c r="D103" s="13" t="str">
        <f>IF(AND(B103=1, B103&gt;=$S$2), A103, "")</f>
        <v/>
      </c>
      <c r="E103" s="13">
        <f>IF(B103&gt;=$S$2, B103, 0)</f>
        <v>0</v>
      </c>
      <c r="F103" s="13">
        <f t="shared" si="1"/>
        <v>0</v>
      </c>
      <c r="G103" s="13">
        <f t="shared" si="2"/>
        <v>0</v>
      </c>
      <c r="H103" s="13" t="str">
        <f>IF(B103&gt;=$T$2, A103, "")</f>
        <v/>
      </c>
      <c r="I103" s="14" t="e">
        <f t="shared" si="5"/>
        <v>#N/A</v>
      </c>
      <c r="J103" s="14">
        <v>0.5</v>
      </c>
      <c r="K103" s="14" t="e">
        <f t="shared" si="6"/>
        <v>#N/A</v>
      </c>
      <c r="L103" s="14">
        <v>0.4</v>
      </c>
      <c r="N103" s="4"/>
      <c r="O103" s="4"/>
      <c r="P103" s="5"/>
      <c r="Q103" s="1"/>
      <c r="R103" s="2"/>
      <c r="S103" s="2"/>
      <c r="T103" s="1"/>
      <c r="U103" s="2"/>
      <c r="V103" s="2"/>
      <c r="W103" s="2"/>
    </row>
    <row r="104" spans="1:23">
      <c r="A104" s="13">
        <v>10.199999999999999</v>
      </c>
      <c r="B104" s="13">
        <f t="shared" si="0"/>
        <v>0</v>
      </c>
      <c r="C104" s="13" t="str">
        <f>IF(B104&gt;=$S$2, A104, "")</f>
        <v/>
      </c>
      <c r="D104" s="13" t="str">
        <f>IF(AND(B104=1, B104&gt;=$S$2), A104, "")</f>
        <v/>
      </c>
      <c r="E104" s="13">
        <f>IF(B104&gt;=$S$2, B104, 0)</f>
        <v>0</v>
      </c>
      <c r="F104" s="13">
        <f t="shared" si="1"/>
        <v>0</v>
      </c>
      <c r="G104" s="13">
        <f t="shared" si="2"/>
        <v>0</v>
      </c>
      <c r="H104" s="13" t="str">
        <f>IF(B104&gt;=$T$2, A104, "")</f>
        <v/>
      </c>
      <c r="I104" s="14" t="e">
        <f t="shared" si="5"/>
        <v>#N/A</v>
      </c>
      <c r="J104" s="14">
        <v>0.5</v>
      </c>
      <c r="K104" s="14" t="e">
        <f t="shared" si="6"/>
        <v>#N/A</v>
      </c>
      <c r="L104" s="14">
        <v>0.4</v>
      </c>
      <c r="N104" s="4"/>
      <c r="O104" s="4"/>
      <c r="P104" s="5"/>
      <c r="Q104" s="1"/>
      <c r="R104" s="2"/>
      <c r="S104" s="2"/>
      <c r="T104" s="1"/>
      <c r="U104" s="2"/>
      <c r="V104" s="2"/>
      <c r="W104" s="2"/>
    </row>
    <row r="105" spans="1:23">
      <c r="A105" s="13">
        <v>10.3</v>
      </c>
      <c r="B105" s="13">
        <f t="shared" si="0"/>
        <v>0</v>
      </c>
      <c r="C105" s="13" t="str">
        <f>IF(B105&gt;=$S$2, A105, "")</f>
        <v/>
      </c>
      <c r="D105" s="13" t="str">
        <f>IF(AND(B105=1, B105&gt;=$S$2), A105, "")</f>
        <v/>
      </c>
      <c r="E105" s="13">
        <f>IF(B105&gt;=$S$2, B105, 0)</f>
        <v>0</v>
      </c>
      <c r="F105" s="13">
        <f t="shared" si="1"/>
        <v>0</v>
      </c>
      <c r="G105" s="13">
        <f t="shared" si="2"/>
        <v>0</v>
      </c>
      <c r="H105" s="13" t="str">
        <f>IF(B105&gt;=$T$2, A105, "")</f>
        <v/>
      </c>
      <c r="I105" s="14" t="e">
        <f t="shared" si="5"/>
        <v>#N/A</v>
      </c>
      <c r="J105" s="14">
        <v>0.5</v>
      </c>
      <c r="K105" s="14" t="e">
        <f t="shared" si="6"/>
        <v>#N/A</v>
      </c>
      <c r="L105" s="14">
        <v>0.4</v>
      </c>
      <c r="N105" s="4"/>
      <c r="O105" s="4"/>
      <c r="P105" s="5"/>
      <c r="Q105" s="1"/>
      <c r="R105" s="2"/>
      <c r="S105" s="2"/>
      <c r="T105" s="1"/>
      <c r="U105" s="2"/>
      <c r="V105" s="2"/>
      <c r="W105" s="2"/>
    </row>
    <row r="106" spans="1:23">
      <c r="A106" s="13">
        <v>10.4</v>
      </c>
      <c r="B106" s="13">
        <f t="shared" si="0"/>
        <v>0</v>
      </c>
      <c r="C106" s="13" t="str">
        <f>IF(B106&gt;=$S$2, A106, "")</f>
        <v/>
      </c>
      <c r="D106" s="13" t="str">
        <f>IF(AND(B106=1, B106&gt;=$S$2), A106, "")</f>
        <v/>
      </c>
      <c r="E106" s="13">
        <f>IF(B106&gt;=$S$2, B106, 0)</f>
        <v>0</v>
      </c>
      <c r="F106" s="13">
        <f t="shared" si="1"/>
        <v>0</v>
      </c>
      <c r="G106" s="13">
        <f t="shared" si="2"/>
        <v>0</v>
      </c>
      <c r="H106" s="13" t="str">
        <f>IF(B106&gt;=$T$2, A106, "")</f>
        <v/>
      </c>
      <c r="I106" s="14" t="e">
        <f t="shared" si="5"/>
        <v>#N/A</v>
      </c>
      <c r="J106" s="14">
        <v>0.5</v>
      </c>
      <c r="K106" s="14" t="e">
        <f t="shared" si="6"/>
        <v>#N/A</v>
      </c>
      <c r="L106" s="14">
        <v>0.4</v>
      </c>
      <c r="N106" s="4"/>
      <c r="O106" s="4"/>
      <c r="P106" s="5"/>
      <c r="Q106" s="1"/>
      <c r="R106" s="2"/>
      <c r="S106" s="2"/>
      <c r="T106" s="1"/>
      <c r="U106" s="2"/>
      <c r="V106" s="2"/>
      <c r="W106" s="2"/>
    </row>
    <row r="107" spans="1:23">
      <c r="A107" s="13">
        <v>10.5</v>
      </c>
      <c r="B107" s="13">
        <f t="shared" si="0"/>
        <v>0</v>
      </c>
      <c r="C107" s="13" t="str">
        <f>IF(B107&gt;=$S$2, A107, "")</f>
        <v/>
      </c>
      <c r="D107" s="13" t="str">
        <f>IF(AND(B107=1, B107&gt;=$S$2), A107, "")</f>
        <v/>
      </c>
      <c r="E107" s="13">
        <f>IF(B107&gt;=$S$2, B107, 0)</f>
        <v>0</v>
      </c>
      <c r="F107" s="13">
        <f t="shared" si="1"/>
        <v>0</v>
      </c>
      <c r="G107" s="13">
        <f t="shared" si="2"/>
        <v>0</v>
      </c>
      <c r="H107" s="13" t="str">
        <f>IF(B107&gt;=$T$2, A107, "")</f>
        <v/>
      </c>
      <c r="I107" s="14" t="e">
        <f t="shared" si="5"/>
        <v>#N/A</v>
      </c>
      <c r="J107" s="14">
        <v>0.5</v>
      </c>
      <c r="K107" s="14" t="e">
        <f t="shared" si="6"/>
        <v>#N/A</v>
      </c>
      <c r="L107" s="14">
        <v>0.4</v>
      </c>
      <c r="N107" s="4"/>
      <c r="O107" s="4"/>
      <c r="P107" s="5"/>
      <c r="Q107" s="1"/>
      <c r="R107" s="2"/>
      <c r="S107" s="2"/>
      <c r="T107" s="1"/>
      <c r="U107" s="2"/>
      <c r="V107" s="2"/>
      <c r="W107" s="2"/>
    </row>
    <row r="108" spans="1:23">
      <c r="A108" s="13">
        <v>10.6</v>
      </c>
      <c r="B108" s="13">
        <f t="shared" si="0"/>
        <v>0</v>
      </c>
      <c r="C108" s="13" t="str">
        <f>IF(B108&gt;=$S$2, A108, "")</f>
        <v/>
      </c>
      <c r="D108" s="13" t="str">
        <f>IF(AND(B108=1, B108&gt;=$S$2), A108, "")</f>
        <v/>
      </c>
      <c r="E108" s="13">
        <f>IF(B108&gt;=$S$2, B108, 0)</f>
        <v>0</v>
      </c>
      <c r="F108" s="13">
        <f t="shared" si="1"/>
        <v>0</v>
      </c>
      <c r="G108" s="13">
        <f t="shared" si="2"/>
        <v>0</v>
      </c>
      <c r="H108" s="13" t="str">
        <f>IF(B108&gt;=$T$2, A108, "")</f>
        <v/>
      </c>
      <c r="I108" s="14" t="e">
        <f t="shared" si="5"/>
        <v>#N/A</v>
      </c>
      <c r="J108" s="14">
        <v>0.5</v>
      </c>
      <c r="K108" s="14" t="e">
        <f t="shared" si="6"/>
        <v>#N/A</v>
      </c>
      <c r="L108" s="14">
        <v>0.4</v>
      </c>
      <c r="N108" s="4"/>
      <c r="O108" s="4"/>
      <c r="P108" s="5"/>
      <c r="Q108" s="1"/>
      <c r="R108" s="2"/>
      <c r="S108" s="2"/>
      <c r="T108" s="1"/>
      <c r="U108" s="2"/>
      <c r="V108" s="2"/>
      <c r="W108" s="2"/>
    </row>
    <row r="109" spans="1:23">
      <c r="A109" s="13">
        <v>10.7</v>
      </c>
      <c r="B109" s="13">
        <f t="shared" si="0"/>
        <v>0</v>
      </c>
      <c r="C109" s="13" t="str">
        <f>IF(B109&gt;=$S$2, A109, "")</f>
        <v/>
      </c>
      <c r="D109" s="13" t="str">
        <f>IF(AND(B109=1, B109&gt;=$S$2), A109, "")</f>
        <v/>
      </c>
      <c r="E109" s="13">
        <f>IF(B109&gt;=$S$2, B109, 0)</f>
        <v>0</v>
      </c>
      <c r="F109" s="13">
        <f t="shared" si="1"/>
        <v>0</v>
      </c>
      <c r="G109" s="13">
        <f t="shared" si="2"/>
        <v>0</v>
      </c>
      <c r="H109" s="13" t="str">
        <f>IF(B109&gt;=$T$2, A109, "")</f>
        <v/>
      </c>
      <c r="I109" s="14" t="e">
        <f t="shared" si="5"/>
        <v>#N/A</v>
      </c>
      <c r="J109" s="14">
        <v>0.5</v>
      </c>
      <c r="K109" s="14" t="e">
        <f t="shared" si="6"/>
        <v>#N/A</v>
      </c>
      <c r="L109" s="14">
        <v>0.4</v>
      </c>
      <c r="N109" s="4"/>
      <c r="O109" s="4"/>
      <c r="P109" s="5"/>
      <c r="Q109" s="1"/>
      <c r="R109" s="2"/>
      <c r="S109" s="2"/>
      <c r="T109" s="1"/>
      <c r="U109" s="2"/>
      <c r="V109" s="2"/>
      <c r="W109" s="2"/>
    </row>
    <row r="110" spans="1:23">
      <c r="A110" s="13">
        <v>10.8</v>
      </c>
      <c r="B110" s="13">
        <f t="shared" si="0"/>
        <v>0</v>
      </c>
      <c r="C110" s="13" t="str">
        <f>IF(B110&gt;=$S$2, A110, "")</f>
        <v/>
      </c>
      <c r="D110" s="13" t="str">
        <f>IF(AND(B110=1, B110&gt;=$S$2), A110, "")</f>
        <v/>
      </c>
      <c r="E110" s="13">
        <f>IF(B110&gt;=$S$2, B110, 0)</f>
        <v>0</v>
      </c>
      <c r="F110" s="13">
        <f t="shared" si="1"/>
        <v>0</v>
      </c>
      <c r="G110" s="13">
        <f t="shared" si="2"/>
        <v>0</v>
      </c>
      <c r="H110" s="13" t="str">
        <f>IF(B110&gt;=$T$2, A110, "")</f>
        <v/>
      </c>
      <c r="I110" s="14" t="e">
        <f t="shared" si="5"/>
        <v>#N/A</v>
      </c>
      <c r="J110" s="14">
        <v>0.5</v>
      </c>
      <c r="K110" s="14" t="e">
        <f t="shared" si="6"/>
        <v>#N/A</v>
      </c>
      <c r="L110" s="14">
        <v>0.4</v>
      </c>
      <c r="N110" s="4"/>
      <c r="O110" s="4"/>
      <c r="P110" s="5"/>
      <c r="Q110" s="1"/>
      <c r="R110" s="2"/>
      <c r="S110" s="2"/>
      <c r="T110" s="1"/>
      <c r="U110" s="2"/>
      <c r="V110" s="2"/>
      <c r="W110" s="2"/>
    </row>
    <row r="111" spans="1:23">
      <c r="A111" s="13">
        <v>10.9</v>
      </c>
      <c r="B111" s="13">
        <f t="shared" si="0"/>
        <v>0</v>
      </c>
      <c r="C111" s="13" t="str">
        <f>IF(B111&gt;=$S$2, A111, "")</f>
        <v/>
      </c>
      <c r="D111" s="13" t="str">
        <f>IF(AND(B111=1, B111&gt;=$S$2), A111, "")</f>
        <v/>
      </c>
      <c r="E111" s="13">
        <f>IF(B111&gt;=$S$2, B111, 0)</f>
        <v>0</v>
      </c>
      <c r="F111" s="13">
        <f t="shared" si="1"/>
        <v>0</v>
      </c>
      <c r="G111" s="13">
        <f t="shared" si="2"/>
        <v>0</v>
      </c>
      <c r="H111" s="13" t="str">
        <f>IF(B111&gt;=$T$2, A111, "")</f>
        <v/>
      </c>
      <c r="I111" s="14" t="e">
        <f t="shared" si="5"/>
        <v>#N/A</v>
      </c>
      <c r="J111" s="14">
        <v>0.5</v>
      </c>
      <c r="K111" s="14" t="e">
        <f t="shared" si="6"/>
        <v>#N/A</v>
      </c>
      <c r="L111" s="14">
        <v>0.4</v>
      </c>
      <c r="N111" s="4"/>
      <c r="O111" s="4"/>
      <c r="P111" s="5"/>
      <c r="Q111" s="1"/>
      <c r="R111" s="2"/>
      <c r="S111" s="2"/>
      <c r="T111" s="1"/>
      <c r="U111" s="2"/>
      <c r="V111" s="2"/>
      <c r="W111" s="2"/>
    </row>
    <row r="112" spans="1:23">
      <c r="A112" s="13">
        <v>11</v>
      </c>
      <c r="B112" s="13">
        <f t="shared" si="0"/>
        <v>0</v>
      </c>
      <c r="C112" s="13" t="str">
        <f>IF(B112&gt;=$S$2, A112, "")</f>
        <v/>
      </c>
      <c r="D112" s="13" t="str">
        <f>IF(AND(B112=1, B112&gt;=$S$2), A112, "")</f>
        <v/>
      </c>
      <c r="E112" s="13">
        <f>IF(B112&gt;=$S$2, B112, 0)</f>
        <v>0</v>
      </c>
      <c r="F112" s="13">
        <f t="shared" si="1"/>
        <v>0</v>
      </c>
      <c r="G112" s="13">
        <f t="shared" si="2"/>
        <v>0</v>
      </c>
      <c r="H112" s="13" t="str">
        <f>IF(B112&gt;=$T$2, A112, "")</f>
        <v/>
      </c>
      <c r="I112" s="14" t="e">
        <f t="shared" si="5"/>
        <v>#N/A</v>
      </c>
      <c r="J112" s="14">
        <v>0.5</v>
      </c>
      <c r="K112" s="14" t="e">
        <f t="shared" si="6"/>
        <v>#N/A</v>
      </c>
      <c r="L112" s="14">
        <v>0.4</v>
      </c>
      <c r="N112" s="4"/>
      <c r="O112" s="4"/>
      <c r="P112" s="5"/>
      <c r="Q112" s="1"/>
      <c r="R112" s="2"/>
      <c r="S112" s="2"/>
      <c r="T112" s="1"/>
      <c r="U112" s="2"/>
      <c r="V112" s="2"/>
      <c r="W112" s="2"/>
    </row>
    <row r="113" spans="1:23">
      <c r="A113" s="13">
        <v>11.1</v>
      </c>
      <c r="B113" s="13">
        <f t="shared" si="0"/>
        <v>0</v>
      </c>
      <c r="C113" s="13" t="str">
        <f>IF(B113&gt;=$S$2, A113, "")</f>
        <v/>
      </c>
      <c r="D113" s="13" t="str">
        <f>IF(AND(B113=1, B113&gt;=$S$2), A113, "")</f>
        <v/>
      </c>
      <c r="E113" s="13">
        <f>IF(B113&gt;=$S$2, B113, 0)</f>
        <v>0</v>
      </c>
      <c r="F113" s="13">
        <f t="shared" si="1"/>
        <v>0</v>
      </c>
      <c r="G113" s="13">
        <f t="shared" si="2"/>
        <v>0</v>
      </c>
      <c r="H113" s="13" t="str">
        <f>IF(B113&gt;=$T$2, A113, "")</f>
        <v/>
      </c>
      <c r="I113" s="14" t="e">
        <f t="shared" si="5"/>
        <v>#N/A</v>
      </c>
      <c r="J113" s="14">
        <v>0.5</v>
      </c>
      <c r="K113" s="14" t="e">
        <f t="shared" si="6"/>
        <v>#N/A</v>
      </c>
      <c r="L113" s="14">
        <v>0.4</v>
      </c>
      <c r="N113" s="4"/>
      <c r="O113" s="4"/>
      <c r="P113" s="5"/>
      <c r="Q113" s="1"/>
      <c r="R113" s="2"/>
      <c r="S113" s="2"/>
      <c r="T113" s="1"/>
      <c r="U113" s="2"/>
      <c r="V113" s="2"/>
      <c r="W113" s="2"/>
    </row>
    <row r="114" spans="1:23">
      <c r="A114" s="13">
        <v>11.2</v>
      </c>
      <c r="B114" s="13">
        <f t="shared" si="0"/>
        <v>0</v>
      </c>
      <c r="C114" s="13" t="str">
        <f>IF(B114&gt;=$S$2, A114, "")</f>
        <v/>
      </c>
      <c r="D114" s="13" t="str">
        <f>IF(AND(B114=1, B114&gt;=$S$2), A114, "")</f>
        <v/>
      </c>
      <c r="E114" s="13">
        <f>IF(B114&gt;=$S$2, B114, 0)</f>
        <v>0</v>
      </c>
      <c r="F114" s="13">
        <f t="shared" si="1"/>
        <v>0</v>
      </c>
      <c r="G114" s="13">
        <f t="shared" si="2"/>
        <v>0</v>
      </c>
      <c r="H114" s="13" t="str">
        <f>IF(B114&gt;=$T$2, A114, "")</f>
        <v/>
      </c>
      <c r="I114" s="14" t="e">
        <f t="shared" si="5"/>
        <v>#N/A</v>
      </c>
      <c r="J114" s="14">
        <v>0.5</v>
      </c>
      <c r="K114" s="14" t="e">
        <f t="shared" si="6"/>
        <v>#N/A</v>
      </c>
      <c r="L114" s="14">
        <v>0.4</v>
      </c>
      <c r="N114" s="4"/>
      <c r="O114" s="4"/>
      <c r="P114" s="5"/>
      <c r="Q114" s="1"/>
      <c r="R114" s="2"/>
      <c r="S114" s="2"/>
      <c r="T114" s="1"/>
      <c r="U114" s="2"/>
      <c r="V114" s="2"/>
      <c r="W114" s="2"/>
    </row>
    <row r="115" spans="1:23">
      <c r="A115" s="13">
        <v>11.3</v>
      </c>
      <c r="B115" s="13">
        <f t="shared" si="0"/>
        <v>0</v>
      </c>
      <c r="C115" s="13" t="str">
        <f>IF(B115&gt;=$S$2, A115, "")</f>
        <v/>
      </c>
      <c r="D115" s="13" t="str">
        <f>IF(AND(B115=1, B115&gt;=$S$2), A115, "")</f>
        <v/>
      </c>
      <c r="E115" s="13">
        <f>IF(B115&gt;=$S$2, B115, 0)</f>
        <v>0</v>
      </c>
      <c r="F115" s="13">
        <f t="shared" si="1"/>
        <v>0</v>
      </c>
      <c r="G115" s="13">
        <f t="shared" si="2"/>
        <v>0</v>
      </c>
      <c r="H115" s="13" t="str">
        <f>IF(B115&gt;=$T$2, A115, "")</f>
        <v/>
      </c>
      <c r="I115" s="14" t="e">
        <f t="shared" si="5"/>
        <v>#N/A</v>
      </c>
      <c r="J115" s="14">
        <v>0.5</v>
      </c>
      <c r="K115" s="14" t="e">
        <f t="shared" si="6"/>
        <v>#N/A</v>
      </c>
      <c r="L115" s="14">
        <v>0.4</v>
      </c>
      <c r="N115" s="4"/>
      <c r="O115" s="4"/>
      <c r="P115" s="5"/>
      <c r="Q115" s="1"/>
      <c r="R115" s="2"/>
      <c r="S115" s="2"/>
      <c r="T115" s="1"/>
      <c r="U115" s="2"/>
      <c r="V115" s="2"/>
      <c r="W115" s="2"/>
    </row>
    <row r="116" spans="1:23">
      <c r="A116" s="13">
        <v>11.4</v>
      </c>
      <c r="B116" s="13">
        <f t="shared" si="0"/>
        <v>0</v>
      </c>
      <c r="C116" s="13" t="str">
        <f>IF(B116&gt;=$S$2, A116, "")</f>
        <v/>
      </c>
      <c r="D116" s="13" t="str">
        <f>IF(AND(B116=1, B116&gt;=$S$2), A116, "")</f>
        <v/>
      </c>
      <c r="E116" s="13">
        <f>IF(B116&gt;=$S$2, B116, 0)</f>
        <v>0</v>
      </c>
      <c r="F116" s="13">
        <f t="shared" si="1"/>
        <v>0</v>
      </c>
      <c r="G116" s="13">
        <f t="shared" si="2"/>
        <v>0</v>
      </c>
      <c r="H116" s="13" t="str">
        <f>IF(B116&gt;=$T$2, A116, "")</f>
        <v/>
      </c>
      <c r="I116" s="14" t="e">
        <f t="shared" si="5"/>
        <v>#N/A</v>
      </c>
      <c r="J116" s="14">
        <v>0.5</v>
      </c>
      <c r="K116" s="14" t="e">
        <f t="shared" si="6"/>
        <v>#N/A</v>
      </c>
      <c r="L116" s="14">
        <v>0.4</v>
      </c>
      <c r="N116" s="4"/>
      <c r="O116" s="4"/>
      <c r="P116" s="5"/>
      <c r="Q116" s="1"/>
      <c r="R116" s="2"/>
      <c r="S116" s="2"/>
      <c r="T116" s="1"/>
      <c r="U116" s="2"/>
      <c r="V116" s="2"/>
      <c r="W116" s="2"/>
    </row>
    <row r="117" spans="1:23">
      <c r="A117" s="13">
        <v>11.5</v>
      </c>
      <c r="B117" s="13">
        <f t="shared" si="0"/>
        <v>0</v>
      </c>
      <c r="C117" s="13" t="str">
        <f>IF(B117&gt;=$S$2, A117, "")</f>
        <v/>
      </c>
      <c r="D117" s="13" t="str">
        <f>IF(AND(B117=1, B117&gt;=$S$2), A117, "")</f>
        <v/>
      </c>
      <c r="E117" s="13">
        <f>IF(B117&gt;=$S$2, B117, 0)</f>
        <v>0</v>
      </c>
      <c r="F117" s="13">
        <f t="shared" si="1"/>
        <v>0</v>
      </c>
      <c r="G117" s="13">
        <f t="shared" si="2"/>
        <v>0</v>
      </c>
      <c r="H117" s="13" t="str">
        <f>IF(B117&gt;=$T$2, A117, "")</f>
        <v/>
      </c>
      <c r="I117" s="14" t="e">
        <f t="shared" si="5"/>
        <v>#N/A</v>
      </c>
      <c r="J117" s="14">
        <v>0.5</v>
      </c>
      <c r="K117" s="14" t="e">
        <f t="shared" si="6"/>
        <v>#N/A</v>
      </c>
      <c r="L117" s="14">
        <v>0.4</v>
      </c>
      <c r="N117" s="4"/>
      <c r="O117" s="4"/>
      <c r="P117" s="5"/>
      <c r="Q117" s="1"/>
      <c r="R117" s="2"/>
      <c r="S117" s="2"/>
      <c r="T117" s="1"/>
      <c r="U117" s="2"/>
      <c r="V117" s="2"/>
      <c r="W117" s="2"/>
    </row>
    <row r="118" spans="1:23">
      <c r="A118" s="13">
        <v>11.6</v>
      </c>
      <c r="B118" s="13">
        <f t="shared" si="0"/>
        <v>0</v>
      </c>
      <c r="C118" s="13" t="str">
        <f>IF(B118&gt;=$S$2, A118, "")</f>
        <v/>
      </c>
      <c r="D118" s="13" t="str">
        <f>IF(AND(B118=1, B118&gt;=$S$2), A118, "")</f>
        <v/>
      </c>
      <c r="E118" s="13">
        <f>IF(B118&gt;=$S$2, B118, 0)</f>
        <v>0</v>
      </c>
      <c r="F118" s="13">
        <f t="shared" si="1"/>
        <v>0</v>
      </c>
      <c r="G118" s="13">
        <f t="shared" si="2"/>
        <v>0</v>
      </c>
      <c r="H118" s="13" t="str">
        <f>IF(B118&gt;=$T$2, A118, "")</f>
        <v/>
      </c>
      <c r="I118" s="14" t="e">
        <f t="shared" si="5"/>
        <v>#N/A</v>
      </c>
      <c r="J118" s="14">
        <v>0.5</v>
      </c>
      <c r="K118" s="14" t="e">
        <f t="shared" si="6"/>
        <v>#N/A</v>
      </c>
      <c r="L118" s="14">
        <v>0.4</v>
      </c>
      <c r="N118" s="4"/>
      <c r="O118" s="4"/>
      <c r="P118" s="5"/>
      <c r="Q118" s="1"/>
      <c r="R118" s="2"/>
      <c r="S118" s="2"/>
      <c r="T118" s="1"/>
      <c r="U118" s="2"/>
      <c r="V118" s="2"/>
      <c r="W118" s="2"/>
    </row>
    <row r="119" spans="1:23">
      <c r="A119" s="13">
        <v>11.7</v>
      </c>
      <c r="B119" s="13">
        <f t="shared" si="0"/>
        <v>0</v>
      </c>
      <c r="C119" s="13" t="str">
        <f>IF(B119&gt;=$S$2, A119, "")</f>
        <v/>
      </c>
      <c r="D119" s="13" t="str">
        <f>IF(AND(B119=1, B119&gt;=$S$2), A119, "")</f>
        <v/>
      </c>
      <c r="E119" s="13">
        <f>IF(B119&gt;=$S$2, B119, 0)</f>
        <v>0</v>
      </c>
      <c r="F119" s="13">
        <f t="shared" si="1"/>
        <v>0</v>
      </c>
      <c r="G119" s="13">
        <f t="shared" si="2"/>
        <v>0</v>
      </c>
      <c r="H119" s="13" t="str">
        <f>IF(B119&gt;=$T$2, A119, "")</f>
        <v/>
      </c>
      <c r="I119" s="14" t="e">
        <f t="shared" si="5"/>
        <v>#N/A</v>
      </c>
      <c r="J119" s="14">
        <v>0.5</v>
      </c>
      <c r="K119" s="14" t="e">
        <f t="shared" si="6"/>
        <v>#N/A</v>
      </c>
      <c r="L119" s="14">
        <v>0.4</v>
      </c>
      <c r="N119" s="4"/>
      <c r="O119" s="4"/>
      <c r="P119" s="5"/>
      <c r="Q119" s="1"/>
      <c r="R119" s="2"/>
      <c r="S119" s="2"/>
      <c r="T119" s="1"/>
      <c r="U119" s="2"/>
      <c r="V119" s="2"/>
      <c r="W119" s="2"/>
    </row>
    <row r="120" spans="1:23">
      <c r="A120" s="13">
        <v>11.8</v>
      </c>
      <c r="B120" s="13">
        <f t="shared" si="0"/>
        <v>0</v>
      </c>
      <c r="C120" s="13" t="str">
        <f>IF(B120&gt;=$S$2, A120, "")</f>
        <v/>
      </c>
      <c r="D120" s="13" t="str">
        <f>IF(AND(B120=1, B120&gt;=$S$2), A120, "")</f>
        <v/>
      </c>
      <c r="E120" s="13">
        <f>IF(B120&gt;=$S$2, B120, 0)</f>
        <v>0</v>
      </c>
      <c r="F120" s="13">
        <f t="shared" si="1"/>
        <v>0</v>
      </c>
      <c r="G120" s="13">
        <f t="shared" si="2"/>
        <v>0</v>
      </c>
      <c r="H120" s="13" t="str">
        <f>IF(B120&gt;=$T$2, A120, "")</f>
        <v/>
      </c>
      <c r="I120" s="14" t="e">
        <f t="shared" si="5"/>
        <v>#N/A</v>
      </c>
      <c r="J120" s="14">
        <v>0.5</v>
      </c>
      <c r="K120" s="14" t="e">
        <f t="shared" si="6"/>
        <v>#N/A</v>
      </c>
      <c r="L120" s="14">
        <v>0.4</v>
      </c>
      <c r="N120" s="4"/>
      <c r="O120" s="4"/>
      <c r="P120" s="5"/>
      <c r="Q120" s="1"/>
      <c r="R120" s="2"/>
      <c r="S120" s="2"/>
      <c r="T120" s="1"/>
      <c r="U120" s="2"/>
      <c r="V120" s="2"/>
      <c r="W120" s="2"/>
    </row>
    <row r="121" spans="1:23">
      <c r="A121" s="13">
        <v>11.9</v>
      </c>
      <c r="B121" s="13">
        <f t="shared" si="0"/>
        <v>0</v>
      </c>
      <c r="C121" s="13" t="str">
        <f>IF(B121&gt;=$S$2, A121, "")</f>
        <v/>
      </c>
      <c r="D121" s="13" t="str">
        <f>IF(AND(B121=1, B121&gt;=$S$2), A121, "")</f>
        <v/>
      </c>
      <c r="E121" s="13">
        <f>IF(B121&gt;=$S$2, B121, 0)</f>
        <v>0</v>
      </c>
      <c r="F121" s="13">
        <f t="shared" si="1"/>
        <v>0</v>
      </c>
      <c r="G121" s="13">
        <f t="shared" si="2"/>
        <v>0</v>
      </c>
      <c r="H121" s="13" t="str">
        <f>IF(B121&gt;=$T$2, A121, "")</f>
        <v/>
      </c>
      <c r="I121" s="14" t="e">
        <f t="shared" si="5"/>
        <v>#N/A</v>
      </c>
      <c r="J121" s="14">
        <v>0.5</v>
      </c>
      <c r="K121" s="14" t="e">
        <f t="shared" si="6"/>
        <v>#N/A</v>
      </c>
      <c r="L121" s="14">
        <v>0.4</v>
      </c>
      <c r="N121" s="4"/>
      <c r="O121" s="4"/>
      <c r="P121" s="5"/>
      <c r="Q121" s="1"/>
      <c r="R121" s="2"/>
      <c r="S121" s="2"/>
      <c r="T121" s="1"/>
      <c r="U121" s="2"/>
      <c r="V121" s="2"/>
      <c r="W121" s="2"/>
    </row>
    <row r="122" spans="1:23">
      <c r="A122" s="13">
        <v>12</v>
      </c>
      <c r="B122" s="13">
        <f t="shared" si="0"/>
        <v>0</v>
      </c>
      <c r="C122" s="13" t="str">
        <f>IF(B122&gt;=$S$2, A122, "")</f>
        <v/>
      </c>
      <c r="D122" s="13" t="str">
        <f>IF(AND(B122=1, B122&gt;=$S$2), A122, "")</f>
        <v/>
      </c>
      <c r="E122" s="13">
        <f>IF(B122&gt;=$S$2, B122, 0)</f>
        <v>0</v>
      </c>
      <c r="F122" s="13">
        <f t="shared" si="1"/>
        <v>0</v>
      </c>
      <c r="G122" s="13">
        <f t="shared" si="2"/>
        <v>0</v>
      </c>
      <c r="H122" s="13" t="str">
        <f>IF(B122&gt;=$T$2, A122, "")</f>
        <v/>
      </c>
      <c r="I122" s="14" t="e">
        <f t="shared" si="5"/>
        <v>#N/A</v>
      </c>
      <c r="J122" s="14">
        <v>0.5</v>
      </c>
      <c r="K122" s="14" t="e">
        <f t="shared" si="6"/>
        <v>#N/A</v>
      </c>
      <c r="L122" s="14">
        <v>0.4</v>
      </c>
      <c r="N122" s="4"/>
      <c r="O122" s="4"/>
      <c r="P122" s="5"/>
      <c r="Q122" s="1"/>
      <c r="R122" s="2"/>
      <c r="S122" s="2"/>
      <c r="T122" s="1"/>
      <c r="U122" s="2"/>
      <c r="V122" s="2"/>
      <c r="W122" s="2"/>
    </row>
    <row r="123" spans="1:23">
      <c r="A123" s="13">
        <v>12.1</v>
      </c>
      <c r="B123" s="13">
        <f t="shared" si="0"/>
        <v>0</v>
      </c>
      <c r="C123" s="13" t="str">
        <f>IF(B123&gt;=$S$2, A123, "")</f>
        <v/>
      </c>
      <c r="D123" s="13" t="str">
        <f>IF(AND(B123=1, B123&gt;=$S$2), A123, "")</f>
        <v/>
      </c>
      <c r="E123" s="13">
        <f>IF(B123&gt;=$S$2, B123, 0)</f>
        <v>0</v>
      </c>
      <c r="F123" s="13">
        <f t="shared" si="1"/>
        <v>0</v>
      </c>
      <c r="G123" s="13">
        <f t="shared" si="2"/>
        <v>0</v>
      </c>
      <c r="H123" s="13" t="str">
        <f>IF(B123&gt;=$T$2, A123, "")</f>
        <v/>
      </c>
      <c r="I123" s="14" t="e">
        <f t="shared" si="5"/>
        <v>#N/A</v>
      </c>
      <c r="J123" s="14">
        <v>0.5</v>
      </c>
      <c r="K123" s="14" t="e">
        <f t="shared" si="6"/>
        <v>#N/A</v>
      </c>
      <c r="L123" s="14">
        <v>0.4</v>
      </c>
      <c r="N123" s="4"/>
      <c r="O123" s="4"/>
      <c r="P123" s="5"/>
      <c r="Q123" s="1"/>
      <c r="R123" s="2"/>
      <c r="S123" s="2"/>
      <c r="T123" s="1"/>
      <c r="U123" s="2"/>
      <c r="V123" s="2"/>
      <c r="W123" s="2"/>
    </row>
    <row r="124" spans="1:23">
      <c r="A124" s="13">
        <v>12.2</v>
      </c>
      <c r="B124" s="13">
        <f t="shared" si="0"/>
        <v>0</v>
      </c>
      <c r="C124" s="13" t="str">
        <f>IF(B124&gt;=$S$2, A124, "")</f>
        <v/>
      </c>
      <c r="D124" s="13" t="str">
        <f>IF(AND(B124=1, B124&gt;=$S$2), A124, "")</f>
        <v/>
      </c>
      <c r="E124" s="13">
        <f>IF(B124&gt;=$S$2, B124, 0)</f>
        <v>0</v>
      </c>
      <c r="F124" s="13">
        <f t="shared" si="1"/>
        <v>0</v>
      </c>
      <c r="G124" s="13">
        <f t="shared" si="2"/>
        <v>0</v>
      </c>
      <c r="H124" s="13" t="str">
        <f>IF(B124&gt;=$T$2, A124, "")</f>
        <v/>
      </c>
      <c r="I124" s="14" t="e">
        <f t="shared" si="5"/>
        <v>#N/A</v>
      </c>
      <c r="J124" s="14">
        <v>0.5</v>
      </c>
      <c r="K124" s="14" t="e">
        <f t="shared" si="6"/>
        <v>#N/A</v>
      </c>
      <c r="L124" s="14">
        <v>0.4</v>
      </c>
      <c r="N124" s="4"/>
      <c r="O124" s="4"/>
      <c r="P124" s="5"/>
      <c r="Q124" s="1"/>
      <c r="R124" s="2"/>
      <c r="S124" s="2"/>
      <c r="T124" s="1"/>
      <c r="U124" s="2"/>
      <c r="V124" s="2"/>
      <c r="W124" s="2"/>
    </row>
    <row r="125" spans="1:23">
      <c r="A125" s="13">
        <v>12.3</v>
      </c>
      <c r="B125" s="13">
        <f t="shared" si="0"/>
        <v>0</v>
      </c>
      <c r="C125" s="13" t="str">
        <f>IF(B125&gt;=$S$2, A125, "")</f>
        <v/>
      </c>
      <c r="D125" s="13" t="str">
        <f>IF(AND(B125=1, B125&gt;=$S$2), A125, "")</f>
        <v/>
      </c>
      <c r="E125" s="13">
        <f>IF(B125&gt;=$S$2, B125, 0)</f>
        <v>0</v>
      </c>
      <c r="F125" s="13">
        <f t="shared" si="1"/>
        <v>0</v>
      </c>
      <c r="G125" s="13">
        <f t="shared" si="2"/>
        <v>0</v>
      </c>
      <c r="H125" s="13" t="str">
        <f>IF(B125&gt;=$T$2, A125, "")</f>
        <v/>
      </c>
      <c r="I125" s="14" t="e">
        <f t="shared" si="5"/>
        <v>#N/A</v>
      </c>
      <c r="J125" s="14">
        <v>0.5</v>
      </c>
      <c r="K125" s="14" t="e">
        <f t="shared" si="6"/>
        <v>#N/A</v>
      </c>
      <c r="L125" s="14">
        <v>0.4</v>
      </c>
      <c r="N125" s="4"/>
      <c r="O125" s="4"/>
      <c r="P125" s="5"/>
      <c r="Q125" s="1"/>
      <c r="R125" s="2"/>
      <c r="S125" s="2"/>
      <c r="T125" s="1"/>
      <c r="U125" s="2"/>
      <c r="V125" s="2"/>
      <c r="W125" s="2"/>
    </row>
    <row r="126" spans="1:23">
      <c r="A126" s="13">
        <v>12.4</v>
      </c>
      <c r="B126" s="13">
        <f t="shared" si="0"/>
        <v>0</v>
      </c>
      <c r="C126" s="13" t="str">
        <f>IF(B126&gt;=$S$2, A126, "")</f>
        <v/>
      </c>
      <c r="D126" s="13" t="str">
        <f>IF(AND(B126=1, B126&gt;=$S$2), A126, "")</f>
        <v/>
      </c>
      <c r="E126" s="13">
        <f>IF(B126&gt;=$S$2, B126, 0)</f>
        <v>0</v>
      </c>
      <c r="F126" s="13">
        <f t="shared" si="1"/>
        <v>0</v>
      </c>
      <c r="G126" s="13">
        <f t="shared" si="2"/>
        <v>0</v>
      </c>
      <c r="H126" s="13" t="str">
        <f>IF(B126&gt;=$T$2, A126, "")</f>
        <v/>
      </c>
      <c r="I126" s="14" t="e">
        <f t="shared" si="5"/>
        <v>#N/A</v>
      </c>
      <c r="J126" s="14">
        <v>0.5</v>
      </c>
      <c r="K126" s="14" t="e">
        <f t="shared" si="6"/>
        <v>#N/A</v>
      </c>
      <c r="L126" s="14">
        <v>0.4</v>
      </c>
      <c r="N126" s="4"/>
      <c r="O126" s="4"/>
      <c r="P126" s="5"/>
      <c r="Q126" s="1"/>
      <c r="R126" s="2"/>
      <c r="S126" s="2"/>
      <c r="T126" s="1"/>
      <c r="U126" s="2"/>
      <c r="V126" s="2"/>
      <c r="W126" s="2"/>
    </row>
    <row r="127" spans="1:23">
      <c r="A127" s="13">
        <v>12.5</v>
      </c>
      <c r="B127" s="13">
        <f t="shared" si="0"/>
        <v>0</v>
      </c>
      <c r="C127" s="13" t="str">
        <f>IF(B127&gt;=$S$2, A127, "")</f>
        <v/>
      </c>
      <c r="D127" s="13" t="str">
        <f>IF(AND(B127=1, B127&gt;=$S$2), A127, "")</f>
        <v/>
      </c>
      <c r="E127" s="13">
        <f>IF(B127&gt;=$S$2, B127, 0)</f>
        <v>0</v>
      </c>
      <c r="F127" s="13">
        <f t="shared" si="1"/>
        <v>0</v>
      </c>
      <c r="G127" s="13">
        <f t="shared" si="2"/>
        <v>0</v>
      </c>
      <c r="H127" s="13" t="str">
        <f>IF(B127&gt;=$T$2, A127, "")</f>
        <v/>
      </c>
      <c r="I127" s="14" t="e">
        <f t="shared" si="5"/>
        <v>#N/A</v>
      </c>
      <c r="J127" s="14">
        <v>0.5</v>
      </c>
      <c r="K127" s="14" t="e">
        <f t="shared" si="6"/>
        <v>#N/A</v>
      </c>
      <c r="L127" s="14">
        <v>0.4</v>
      </c>
      <c r="N127" s="4"/>
      <c r="O127" s="4"/>
      <c r="P127" s="5"/>
      <c r="Q127" s="1"/>
      <c r="R127" s="2"/>
      <c r="S127" s="2"/>
      <c r="T127" s="1"/>
      <c r="U127" s="2"/>
      <c r="V127" s="2"/>
      <c r="W127" s="2"/>
    </row>
    <row r="128" spans="1:23">
      <c r="A128" s="13">
        <v>12.6</v>
      </c>
      <c r="B128" s="13">
        <f t="shared" si="0"/>
        <v>0</v>
      </c>
      <c r="C128" s="13" t="str">
        <f>IF(B128&gt;=$S$2, A128, "")</f>
        <v/>
      </c>
      <c r="D128" s="13" t="str">
        <f>IF(AND(B128=1, B128&gt;=$S$2), A128, "")</f>
        <v/>
      </c>
      <c r="E128" s="13">
        <f>IF(B128&gt;=$S$2, B128, 0)</f>
        <v>0</v>
      </c>
      <c r="F128" s="13">
        <f t="shared" si="1"/>
        <v>0</v>
      </c>
      <c r="G128" s="13">
        <f t="shared" si="2"/>
        <v>0</v>
      </c>
      <c r="H128" s="13" t="str">
        <f>IF(B128&gt;=$T$2, A128, "")</f>
        <v/>
      </c>
      <c r="I128" s="14" t="e">
        <f t="shared" si="5"/>
        <v>#N/A</v>
      </c>
      <c r="J128" s="14">
        <v>0.5</v>
      </c>
      <c r="K128" s="14" t="e">
        <f t="shared" si="6"/>
        <v>#N/A</v>
      </c>
      <c r="L128" s="14">
        <v>0.4</v>
      </c>
      <c r="N128" s="4"/>
      <c r="O128" s="4"/>
      <c r="P128" s="5"/>
      <c r="Q128" s="1"/>
      <c r="R128" s="2"/>
      <c r="S128" s="2"/>
      <c r="T128" s="1"/>
      <c r="U128" s="2"/>
      <c r="V128" s="2"/>
      <c r="W128" s="2"/>
    </row>
    <row r="129" spans="1:23">
      <c r="A129" s="13">
        <v>12.7</v>
      </c>
      <c r="B129" s="13">
        <f t="shared" si="0"/>
        <v>0</v>
      </c>
      <c r="C129" s="13" t="str">
        <f>IF(B129&gt;=$S$2, A129, "")</f>
        <v/>
      </c>
      <c r="D129" s="13" t="str">
        <f>IF(AND(B129=1, B129&gt;=$S$2), A129, "")</f>
        <v/>
      </c>
      <c r="E129" s="13">
        <f>IF(B129&gt;=$S$2, B129, 0)</f>
        <v>0</v>
      </c>
      <c r="F129" s="13">
        <f t="shared" si="1"/>
        <v>0</v>
      </c>
      <c r="G129" s="13">
        <f t="shared" si="2"/>
        <v>0</v>
      </c>
      <c r="H129" s="13" t="str">
        <f>IF(B129&gt;=$T$2, A129, "")</f>
        <v/>
      </c>
      <c r="I129" s="14" t="e">
        <f t="shared" si="5"/>
        <v>#N/A</v>
      </c>
      <c r="J129" s="14">
        <v>0.5</v>
      </c>
      <c r="K129" s="14" t="e">
        <f t="shared" si="6"/>
        <v>#N/A</v>
      </c>
      <c r="L129" s="14">
        <v>0.4</v>
      </c>
      <c r="N129" s="4"/>
      <c r="O129" s="4"/>
      <c r="P129" s="5"/>
      <c r="Q129" s="1"/>
      <c r="R129" s="2"/>
      <c r="S129" s="2"/>
      <c r="T129" s="1"/>
      <c r="U129" s="2"/>
      <c r="V129" s="2"/>
      <c r="W129" s="2"/>
    </row>
    <row r="130" spans="1:23">
      <c r="A130" s="13">
        <v>12.8</v>
      </c>
      <c r="B130" s="13">
        <f t="shared" si="0"/>
        <v>0</v>
      </c>
      <c r="C130" s="13" t="str">
        <f>IF(B130&gt;=$S$2, A130, "")</f>
        <v/>
      </c>
      <c r="D130" s="13" t="str">
        <f>IF(AND(B130=1, B130&gt;=$S$2), A130, "")</f>
        <v/>
      </c>
      <c r="E130" s="13">
        <f>IF(B130&gt;=$S$2, B130, 0)</f>
        <v>0</v>
      </c>
      <c r="F130" s="13">
        <f t="shared" si="1"/>
        <v>0</v>
      </c>
      <c r="G130" s="13">
        <f t="shared" si="2"/>
        <v>0</v>
      </c>
      <c r="H130" s="13" t="str">
        <f>IF(B130&gt;=$T$2, A130, "")</f>
        <v/>
      </c>
      <c r="I130" s="14" t="e">
        <f t="shared" si="5"/>
        <v>#N/A</v>
      </c>
      <c r="J130" s="14">
        <v>0.5</v>
      </c>
      <c r="K130" s="14" t="e">
        <f t="shared" si="6"/>
        <v>#N/A</v>
      </c>
      <c r="L130" s="14">
        <v>0.4</v>
      </c>
      <c r="N130" s="4"/>
      <c r="O130" s="4"/>
      <c r="P130" s="5"/>
      <c r="Q130" s="1"/>
      <c r="R130" s="2"/>
      <c r="S130" s="2"/>
      <c r="T130" s="1"/>
      <c r="U130" s="2"/>
      <c r="V130" s="2"/>
      <c r="W130" s="2"/>
    </row>
    <row r="131" spans="1:23">
      <c r="A131" s="13">
        <v>12.9</v>
      </c>
      <c r="B131" s="13">
        <f t="shared" si="0"/>
        <v>0</v>
      </c>
      <c r="C131" s="13" t="str">
        <f>IF(B131&gt;=$S$2, A131, "")</f>
        <v/>
      </c>
      <c r="D131" s="13" t="str">
        <f>IF(AND(B131=1, B131&gt;=$S$2), A131, "")</f>
        <v/>
      </c>
      <c r="E131" s="13">
        <f>IF(B131&gt;=$S$2, B131, 0)</f>
        <v>0</v>
      </c>
      <c r="F131" s="13">
        <f t="shared" si="1"/>
        <v>0</v>
      </c>
      <c r="G131" s="13">
        <f t="shared" si="2"/>
        <v>0</v>
      </c>
      <c r="H131" s="13" t="str">
        <f>IF(B131&gt;=$T$2, A131, "")</f>
        <v/>
      </c>
      <c r="I131" s="14" t="e">
        <f t="shared" ref="I131:I194" si="7">IF($B131&gt;=0.5, $B131, #N/A)</f>
        <v>#N/A</v>
      </c>
      <c r="J131" s="14">
        <v>0.5</v>
      </c>
      <c r="K131" s="14" t="e">
        <f t="shared" ref="K131:K194" si="8">IF($B131&gt;=0.4, $B131, #N/A)</f>
        <v>#N/A</v>
      </c>
      <c r="L131" s="14">
        <v>0.4</v>
      </c>
      <c r="N131" s="4"/>
      <c r="O131" s="4"/>
      <c r="P131" s="5"/>
      <c r="Q131" s="1"/>
      <c r="R131" s="2"/>
      <c r="S131" s="2"/>
      <c r="T131" s="1"/>
      <c r="U131" s="2"/>
      <c r="V131" s="2"/>
      <c r="W131" s="2"/>
    </row>
    <row r="132" spans="1:23">
      <c r="A132" s="13">
        <v>13</v>
      </c>
      <c r="B132" s="13">
        <f t="shared" si="0"/>
        <v>0</v>
      </c>
      <c r="C132" s="13" t="str">
        <f>IF(B132&gt;=$S$2, A132, "")</f>
        <v/>
      </c>
      <c r="D132" s="13" t="str">
        <f>IF(AND(B132=1, B132&gt;=$S$2), A132, "")</f>
        <v/>
      </c>
      <c r="E132" s="13">
        <f>IF(B132&gt;=$S$2, B132, 0)</f>
        <v>0</v>
      </c>
      <c r="F132" s="13">
        <f t="shared" si="1"/>
        <v>0</v>
      </c>
      <c r="G132" s="13">
        <f t="shared" si="2"/>
        <v>0</v>
      </c>
      <c r="H132" s="13" t="str">
        <f>IF(B132&gt;=$T$2, A132, "")</f>
        <v/>
      </c>
      <c r="I132" s="14" t="e">
        <f t="shared" si="7"/>
        <v>#N/A</v>
      </c>
      <c r="J132" s="14">
        <v>0.5</v>
      </c>
      <c r="K132" s="14" t="e">
        <f t="shared" si="8"/>
        <v>#N/A</v>
      </c>
      <c r="L132" s="14">
        <v>0.4</v>
      </c>
      <c r="N132" s="4"/>
      <c r="O132" s="4"/>
      <c r="P132" s="5"/>
      <c r="Q132" s="1"/>
      <c r="R132" s="2"/>
      <c r="S132" s="2"/>
      <c r="T132" s="1"/>
      <c r="U132" s="2"/>
      <c r="V132" s="2"/>
      <c r="W132" s="2"/>
    </row>
    <row r="133" spans="1:23">
      <c r="A133" s="13">
        <v>13.1</v>
      </c>
      <c r="B133" s="13">
        <f t="shared" si="0"/>
        <v>0</v>
      </c>
      <c r="C133" s="13" t="str">
        <f>IF(B133&gt;=$S$2, A133, "")</f>
        <v/>
      </c>
      <c r="D133" s="13" t="str">
        <f>IF(AND(B133=1, B133&gt;=$S$2), A133, "")</f>
        <v/>
      </c>
      <c r="E133" s="13">
        <f>IF(B133&gt;=$S$2, B133, 0)</f>
        <v>0</v>
      </c>
      <c r="F133" s="13">
        <f t="shared" si="1"/>
        <v>0</v>
      </c>
      <c r="G133" s="13">
        <f t="shared" si="2"/>
        <v>0</v>
      </c>
      <c r="H133" s="13" t="str">
        <f>IF(B133&gt;=$T$2, A133, "")</f>
        <v/>
      </c>
      <c r="I133" s="14" t="e">
        <f t="shared" si="7"/>
        <v>#N/A</v>
      </c>
      <c r="J133" s="14">
        <v>0.5</v>
      </c>
      <c r="K133" s="14" t="e">
        <f t="shared" si="8"/>
        <v>#N/A</v>
      </c>
      <c r="L133" s="14">
        <v>0.4</v>
      </c>
      <c r="N133" s="4"/>
      <c r="O133" s="4"/>
      <c r="P133" s="5"/>
      <c r="Q133" s="1"/>
      <c r="R133" s="2"/>
      <c r="S133" s="2"/>
      <c r="T133" s="1"/>
      <c r="U133" s="2"/>
      <c r="V133" s="2"/>
      <c r="W133" s="2"/>
    </row>
    <row r="134" spans="1:23">
      <c r="A134" s="13">
        <v>13.2</v>
      </c>
      <c r="B134" s="13">
        <f t="shared" si="0"/>
        <v>0</v>
      </c>
      <c r="C134" s="13" t="str">
        <f>IF(B134&gt;=$S$2, A134, "")</f>
        <v/>
      </c>
      <c r="D134" s="13" t="str">
        <f>IF(AND(B134=1, B134&gt;=$S$2), A134, "")</f>
        <v/>
      </c>
      <c r="E134" s="13">
        <f>IF(B134&gt;=$S$2, B134, 0)</f>
        <v>0</v>
      </c>
      <c r="F134" s="13">
        <f t="shared" si="1"/>
        <v>0</v>
      </c>
      <c r="G134" s="13">
        <f t="shared" si="2"/>
        <v>0</v>
      </c>
      <c r="H134" s="13" t="str">
        <f>IF(B134&gt;=$T$2, A134, "")</f>
        <v/>
      </c>
      <c r="I134" s="14" t="e">
        <f t="shared" si="7"/>
        <v>#N/A</v>
      </c>
      <c r="J134" s="14">
        <v>0.5</v>
      </c>
      <c r="K134" s="14" t="e">
        <f t="shared" si="8"/>
        <v>#N/A</v>
      </c>
      <c r="L134" s="14">
        <v>0.4</v>
      </c>
      <c r="N134" s="4"/>
      <c r="O134" s="4"/>
      <c r="P134" s="5"/>
      <c r="Q134" s="1"/>
      <c r="R134" s="2"/>
      <c r="S134" s="2"/>
      <c r="T134" s="1"/>
      <c r="U134" s="2"/>
      <c r="V134" s="2"/>
      <c r="W134" s="2"/>
    </row>
    <row r="135" spans="1:23">
      <c r="A135" s="13">
        <v>13.3</v>
      </c>
      <c r="B135" s="13">
        <f t="shared" si="0"/>
        <v>0</v>
      </c>
      <c r="C135" s="13" t="str">
        <f>IF(B135&gt;=$S$2, A135, "")</f>
        <v/>
      </c>
      <c r="D135" s="13" t="str">
        <f>IF(AND(B135=1, B135&gt;=$S$2), A135, "")</f>
        <v/>
      </c>
      <c r="E135" s="13">
        <f>IF(B135&gt;=$S$2, B135, 0)</f>
        <v>0</v>
      </c>
      <c r="F135" s="13">
        <f t="shared" si="1"/>
        <v>0</v>
      </c>
      <c r="G135" s="13">
        <f t="shared" si="2"/>
        <v>0</v>
      </c>
      <c r="H135" s="13" t="str">
        <f>IF(B135&gt;=$T$2, A135, "")</f>
        <v/>
      </c>
      <c r="I135" s="14" t="e">
        <f t="shared" si="7"/>
        <v>#N/A</v>
      </c>
      <c r="J135" s="14">
        <v>0.5</v>
      </c>
      <c r="K135" s="14" t="e">
        <f t="shared" si="8"/>
        <v>#N/A</v>
      </c>
      <c r="L135" s="14">
        <v>0.4</v>
      </c>
      <c r="N135" s="4"/>
      <c r="O135" s="4"/>
      <c r="P135" s="5"/>
      <c r="Q135" s="1"/>
      <c r="R135" s="2"/>
      <c r="S135" s="2"/>
      <c r="T135" s="1"/>
      <c r="U135" s="2"/>
      <c r="V135" s="2"/>
      <c r="W135" s="2"/>
    </row>
    <row r="136" spans="1:23">
      <c r="A136" s="13">
        <v>13.4</v>
      </c>
      <c r="B136" s="13">
        <f t="shared" si="0"/>
        <v>0</v>
      </c>
      <c r="C136" s="13" t="str">
        <f>IF(B136&gt;=$S$2, A136, "")</f>
        <v/>
      </c>
      <c r="D136" s="13" t="str">
        <f>IF(AND(B136=1, B136&gt;=$S$2), A136, "")</f>
        <v/>
      </c>
      <c r="E136" s="13">
        <f>IF(B136&gt;=$S$2, B136, 0)</f>
        <v>0</v>
      </c>
      <c r="F136" s="13">
        <f t="shared" si="1"/>
        <v>0</v>
      </c>
      <c r="G136" s="13">
        <f t="shared" si="2"/>
        <v>0</v>
      </c>
      <c r="H136" s="13" t="str">
        <f>IF(B136&gt;=$T$2, A136, "")</f>
        <v/>
      </c>
      <c r="I136" s="14" t="e">
        <f t="shared" si="7"/>
        <v>#N/A</v>
      </c>
      <c r="J136" s="14">
        <v>0.5</v>
      </c>
      <c r="K136" s="14" t="e">
        <f t="shared" si="8"/>
        <v>#N/A</v>
      </c>
      <c r="L136" s="14">
        <v>0.4</v>
      </c>
      <c r="N136" s="4"/>
      <c r="O136" s="4"/>
      <c r="P136" s="5"/>
      <c r="Q136" s="1"/>
      <c r="R136" s="2"/>
      <c r="S136" s="2"/>
      <c r="T136" s="1"/>
      <c r="U136" s="2"/>
      <c r="V136" s="2"/>
      <c r="W136" s="2"/>
    </row>
    <row r="137" spans="1:23">
      <c r="A137" s="13">
        <v>13.5</v>
      </c>
      <c r="B137" s="13">
        <f t="shared" si="0"/>
        <v>0</v>
      </c>
      <c r="C137" s="13" t="str">
        <f>IF(B137&gt;=$S$2, A137, "")</f>
        <v/>
      </c>
      <c r="D137" s="13" t="str">
        <f>IF(AND(B137=1, B137&gt;=$S$2), A137, "")</f>
        <v/>
      </c>
      <c r="E137" s="13">
        <f>IF(B137&gt;=$S$2, B137, 0)</f>
        <v>0</v>
      </c>
      <c r="F137" s="13">
        <f t="shared" si="1"/>
        <v>0</v>
      </c>
      <c r="G137" s="13">
        <f t="shared" si="2"/>
        <v>0</v>
      </c>
      <c r="H137" s="13" t="str">
        <f>IF(B137&gt;=$T$2, A137, "")</f>
        <v/>
      </c>
      <c r="I137" s="14" t="e">
        <f t="shared" si="7"/>
        <v>#N/A</v>
      </c>
      <c r="J137" s="14">
        <v>0.5</v>
      </c>
      <c r="K137" s="14" t="e">
        <f t="shared" si="8"/>
        <v>#N/A</v>
      </c>
      <c r="L137" s="14">
        <v>0.4</v>
      </c>
      <c r="N137" s="4"/>
      <c r="O137" s="4"/>
      <c r="P137" s="5"/>
      <c r="Q137" s="1"/>
      <c r="R137" s="2"/>
      <c r="S137" s="2"/>
      <c r="T137" s="1"/>
      <c r="U137" s="2"/>
      <c r="V137" s="2"/>
      <c r="W137" s="2"/>
    </row>
    <row r="138" spans="1:23">
      <c r="A138" s="13">
        <v>13.6</v>
      </c>
      <c r="B138" s="13">
        <f t="shared" si="0"/>
        <v>0</v>
      </c>
      <c r="C138" s="13" t="str">
        <f>IF(B138&gt;=$S$2, A138, "")</f>
        <v/>
      </c>
      <c r="D138" s="13" t="str">
        <f>IF(AND(B138=1, B138&gt;=$S$2), A138, "")</f>
        <v/>
      </c>
      <c r="E138" s="13">
        <f>IF(B138&gt;=$S$2, B138, 0)</f>
        <v>0</v>
      </c>
      <c r="F138" s="13">
        <f t="shared" si="1"/>
        <v>0</v>
      </c>
      <c r="G138" s="13">
        <f t="shared" si="2"/>
        <v>0</v>
      </c>
      <c r="H138" s="13" t="str">
        <f>IF(B138&gt;=$T$2, A138, "")</f>
        <v/>
      </c>
      <c r="I138" s="14" t="e">
        <f t="shared" si="7"/>
        <v>#N/A</v>
      </c>
      <c r="J138" s="14">
        <v>0.5</v>
      </c>
      <c r="K138" s="14" t="e">
        <f t="shared" si="8"/>
        <v>#N/A</v>
      </c>
      <c r="L138" s="14">
        <v>0.4</v>
      </c>
      <c r="N138" s="4"/>
      <c r="O138" s="4"/>
      <c r="P138" s="5"/>
      <c r="Q138" s="1"/>
      <c r="R138" s="2"/>
      <c r="S138" s="2"/>
      <c r="T138" s="1"/>
      <c r="U138" s="2"/>
      <c r="V138" s="2"/>
      <c r="W138" s="2"/>
    </row>
    <row r="139" spans="1:23">
      <c r="A139" s="13">
        <v>13.7</v>
      </c>
      <c r="B139" s="13">
        <f t="shared" si="0"/>
        <v>0</v>
      </c>
      <c r="C139" s="13" t="str">
        <f>IF(B139&gt;=$S$2, A139, "")</f>
        <v/>
      </c>
      <c r="D139" s="13" t="str">
        <f>IF(AND(B139=1, B139&gt;=$S$2), A139, "")</f>
        <v/>
      </c>
      <c r="E139" s="13">
        <f>IF(B139&gt;=$S$2, B139, 0)</f>
        <v>0</v>
      </c>
      <c r="F139" s="13">
        <f t="shared" si="1"/>
        <v>0</v>
      </c>
      <c r="G139" s="13">
        <f t="shared" si="2"/>
        <v>0</v>
      </c>
      <c r="H139" s="13" t="str">
        <f>IF(B139&gt;=$T$2, A139, "")</f>
        <v/>
      </c>
      <c r="I139" s="14" t="e">
        <f t="shared" si="7"/>
        <v>#N/A</v>
      </c>
      <c r="J139" s="14">
        <v>0.5</v>
      </c>
      <c r="K139" s="14" t="e">
        <f t="shared" si="8"/>
        <v>#N/A</v>
      </c>
      <c r="L139" s="14">
        <v>0.4</v>
      </c>
      <c r="N139" s="4"/>
      <c r="O139" s="4"/>
      <c r="P139" s="5"/>
      <c r="Q139" s="1"/>
      <c r="R139" s="2"/>
      <c r="S139" s="2"/>
      <c r="T139" s="1"/>
      <c r="U139" s="2"/>
      <c r="V139" s="2"/>
      <c r="W139" s="2"/>
    </row>
    <row r="140" spans="1:23">
      <c r="A140" s="13">
        <v>13.8</v>
      </c>
      <c r="B140" s="13">
        <f t="shared" si="0"/>
        <v>0</v>
      </c>
      <c r="C140" s="13" t="str">
        <f>IF(B140&gt;=$S$2, A140, "")</f>
        <v/>
      </c>
      <c r="D140" s="13" t="str">
        <f>IF(AND(B140=1, B140&gt;=$S$2), A140, "")</f>
        <v/>
      </c>
      <c r="E140" s="13">
        <f>IF(B140&gt;=$S$2, B140, 0)</f>
        <v>0</v>
      </c>
      <c r="F140" s="13">
        <f t="shared" si="1"/>
        <v>0</v>
      </c>
      <c r="G140" s="13">
        <f t="shared" si="2"/>
        <v>0</v>
      </c>
      <c r="H140" s="13" t="str">
        <f>IF(B140&gt;=$T$2, A140, "")</f>
        <v/>
      </c>
      <c r="I140" s="14" t="e">
        <f t="shared" si="7"/>
        <v>#N/A</v>
      </c>
      <c r="J140" s="14">
        <v>0.5</v>
      </c>
      <c r="K140" s="14" t="e">
        <f t="shared" si="8"/>
        <v>#N/A</v>
      </c>
      <c r="L140" s="14">
        <v>0.4</v>
      </c>
      <c r="N140" s="4"/>
      <c r="O140" s="4"/>
      <c r="P140" s="5"/>
      <c r="Q140" s="1"/>
      <c r="R140" s="2"/>
      <c r="S140" s="2"/>
      <c r="T140" s="1"/>
      <c r="U140" s="2"/>
      <c r="V140" s="2"/>
      <c r="W140" s="2"/>
    </row>
    <row r="141" spans="1:23">
      <c r="A141" s="13">
        <v>13.9</v>
      </c>
      <c r="B141" s="13">
        <f t="shared" si="0"/>
        <v>0</v>
      </c>
      <c r="C141" s="13" t="str">
        <f>IF(B141&gt;=$S$2, A141, "")</f>
        <v/>
      </c>
      <c r="D141" s="13" t="str">
        <f>IF(AND(B141=1, B141&gt;=$S$2), A141, "")</f>
        <v/>
      </c>
      <c r="E141" s="13">
        <f>IF(B141&gt;=$S$2, B141, 0)</f>
        <v>0</v>
      </c>
      <c r="F141" s="13">
        <f t="shared" si="1"/>
        <v>0</v>
      </c>
      <c r="G141" s="13">
        <f t="shared" si="2"/>
        <v>0</v>
      </c>
      <c r="H141" s="13" t="str">
        <f>IF(B141&gt;=$T$2, A141, "")</f>
        <v/>
      </c>
      <c r="I141" s="14" t="e">
        <f t="shared" si="7"/>
        <v>#N/A</v>
      </c>
      <c r="J141" s="14">
        <v>0.5</v>
      </c>
      <c r="K141" s="14" t="e">
        <f t="shared" si="8"/>
        <v>#N/A</v>
      </c>
      <c r="L141" s="14">
        <v>0.4</v>
      </c>
      <c r="N141" s="4"/>
      <c r="O141" s="4"/>
      <c r="P141" s="5"/>
      <c r="Q141" s="1"/>
      <c r="R141" s="2"/>
      <c r="S141" s="2"/>
      <c r="T141" s="1"/>
      <c r="U141" s="2"/>
      <c r="V141" s="2"/>
      <c r="W141" s="2"/>
    </row>
    <row r="142" spans="1:23">
      <c r="A142" s="13">
        <v>14</v>
      </c>
      <c r="B142" s="13">
        <f t="shared" si="0"/>
        <v>0</v>
      </c>
      <c r="C142" s="13" t="str">
        <f>IF(B142&gt;=$S$2, A142, "")</f>
        <v/>
      </c>
      <c r="D142" s="13" t="str">
        <f>IF(AND(B142=1, B142&gt;=$S$2), A142, "")</f>
        <v/>
      </c>
      <c r="E142" s="13">
        <f>IF(B142&gt;=$S$2, B142, 0)</f>
        <v>0</v>
      </c>
      <c r="F142" s="13">
        <f t="shared" si="1"/>
        <v>0</v>
      </c>
      <c r="G142" s="13">
        <f t="shared" si="2"/>
        <v>0</v>
      </c>
      <c r="H142" s="13" t="str">
        <f>IF(B142&gt;=$T$2, A142, "")</f>
        <v/>
      </c>
      <c r="I142" s="14" t="e">
        <f t="shared" si="7"/>
        <v>#N/A</v>
      </c>
      <c r="J142" s="14">
        <v>0.5</v>
      </c>
      <c r="K142" s="14" t="e">
        <f t="shared" si="8"/>
        <v>#N/A</v>
      </c>
      <c r="L142" s="14">
        <v>0.4</v>
      </c>
      <c r="N142" s="4"/>
      <c r="O142" s="4"/>
      <c r="P142" s="5"/>
      <c r="Q142" s="1"/>
      <c r="R142" s="2"/>
      <c r="S142" s="2"/>
      <c r="T142" s="1"/>
      <c r="U142" s="2"/>
      <c r="V142" s="2"/>
      <c r="W142" s="2"/>
    </row>
    <row r="143" spans="1:23">
      <c r="A143" s="13">
        <v>14.1</v>
      </c>
      <c r="B143" s="13">
        <f t="shared" si="0"/>
        <v>0</v>
      </c>
      <c r="C143" s="13" t="str">
        <f>IF(B143&gt;=$S$2, A143, "")</f>
        <v/>
      </c>
      <c r="D143" s="13" t="str">
        <f>IF(AND(B143=1, B143&gt;=$S$2), A143, "")</f>
        <v/>
      </c>
      <c r="E143" s="13">
        <f>IF(B143&gt;=$S$2, B143, 0)</f>
        <v>0</v>
      </c>
      <c r="F143" s="13">
        <f t="shared" si="1"/>
        <v>0</v>
      </c>
      <c r="G143" s="13">
        <f t="shared" si="2"/>
        <v>0</v>
      </c>
      <c r="H143" s="13" t="str">
        <f>IF(B143&gt;=$T$2, A143, "")</f>
        <v/>
      </c>
      <c r="I143" s="14" t="e">
        <f t="shared" si="7"/>
        <v>#N/A</v>
      </c>
      <c r="J143" s="14">
        <v>0.5</v>
      </c>
      <c r="K143" s="14" t="e">
        <f t="shared" si="8"/>
        <v>#N/A</v>
      </c>
      <c r="L143" s="14">
        <v>0.4</v>
      </c>
      <c r="N143" s="4"/>
      <c r="O143" s="4"/>
      <c r="P143" s="5"/>
      <c r="Q143" s="1"/>
      <c r="R143" s="2"/>
      <c r="S143" s="2"/>
      <c r="T143" s="1"/>
      <c r="U143" s="2"/>
      <c r="V143" s="2"/>
      <c r="W143" s="2"/>
    </row>
    <row r="144" spans="1:23">
      <c r="A144" s="13">
        <v>14.2</v>
      </c>
      <c r="B144" s="13">
        <f t="shared" si="0"/>
        <v>0</v>
      </c>
      <c r="C144" s="13" t="str">
        <f>IF(B144&gt;=$S$2, A144, "")</f>
        <v/>
      </c>
      <c r="D144" s="13" t="str">
        <f>IF(AND(B144=1, B144&gt;=$S$2), A144, "")</f>
        <v/>
      </c>
      <c r="E144" s="13">
        <f>IF(B144&gt;=$S$2, B144, 0)</f>
        <v>0</v>
      </c>
      <c r="F144" s="13">
        <f t="shared" si="1"/>
        <v>0</v>
      </c>
      <c r="G144" s="13">
        <f t="shared" si="2"/>
        <v>0</v>
      </c>
      <c r="H144" s="13" t="str">
        <f>IF(B144&gt;=$T$2, A144, "")</f>
        <v/>
      </c>
      <c r="I144" s="14" t="e">
        <f t="shared" si="7"/>
        <v>#N/A</v>
      </c>
      <c r="J144" s="14">
        <v>0.5</v>
      </c>
      <c r="K144" s="14" t="e">
        <f t="shared" si="8"/>
        <v>#N/A</v>
      </c>
      <c r="L144" s="14">
        <v>0.4</v>
      </c>
      <c r="N144" s="4"/>
      <c r="O144" s="4"/>
      <c r="P144" s="5"/>
      <c r="Q144" s="1"/>
      <c r="R144" s="2"/>
      <c r="S144" s="2"/>
      <c r="T144" s="1"/>
      <c r="U144" s="2"/>
      <c r="V144" s="2"/>
      <c r="W144" s="2"/>
    </row>
    <row r="145" spans="1:23">
      <c r="A145" s="13">
        <v>14.3</v>
      </c>
      <c r="B145" s="13">
        <f t="shared" si="0"/>
        <v>0</v>
      </c>
      <c r="C145" s="13" t="str">
        <f>IF(B145&gt;=$S$2, A145, "")</f>
        <v/>
      </c>
      <c r="D145" s="13" t="str">
        <f>IF(AND(B145=1, B145&gt;=$S$2), A145, "")</f>
        <v/>
      </c>
      <c r="E145" s="13">
        <f>IF(B145&gt;=$S$2, B145, 0)</f>
        <v>0</v>
      </c>
      <c r="F145" s="13">
        <f t="shared" si="1"/>
        <v>0</v>
      </c>
      <c r="G145" s="13">
        <f t="shared" si="2"/>
        <v>0</v>
      </c>
      <c r="H145" s="13" t="str">
        <f>IF(B145&gt;=$T$2, A145, "")</f>
        <v/>
      </c>
      <c r="I145" s="14" t="e">
        <f t="shared" si="7"/>
        <v>#N/A</v>
      </c>
      <c r="J145" s="14">
        <v>0.5</v>
      </c>
      <c r="K145" s="14" t="e">
        <f t="shared" si="8"/>
        <v>#N/A</v>
      </c>
      <c r="L145" s="14">
        <v>0.4</v>
      </c>
      <c r="N145" s="4"/>
      <c r="O145" s="4"/>
      <c r="P145" s="5"/>
      <c r="Q145" s="1"/>
      <c r="R145" s="2"/>
      <c r="S145" s="2"/>
      <c r="T145" s="1"/>
      <c r="U145" s="2"/>
      <c r="V145" s="2"/>
      <c r="W145" s="2"/>
    </row>
    <row r="146" spans="1:23">
      <c r="A146" s="13">
        <v>14.4</v>
      </c>
      <c r="B146" s="13">
        <f t="shared" si="0"/>
        <v>0</v>
      </c>
      <c r="C146" s="13" t="str">
        <f>IF(B146&gt;=$S$2, A146, "")</f>
        <v/>
      </c>
      <c r="D146" s="13" t="str">
        <f>IF(AND(B146=1, B146&gt;=$S$2), A146, "")</f>
        <v/>
      </c>
      <c r="E146" s="13">
        <f>IF(B146&gt;=$S$2, B146, 0)</f>
        <v>0</v>
      </c>
      <c r="F146" s="13">
        <f t="shared" si="1"/>
        <v>0</v>
      </c>
      <c r="G146" s="13">
        <f t="shared" si="2"/>
        <v>0</v>
      </c>
      <c r="H146" s="13" t="str">
        <f>IF(B146&gt;=$T$2, A146, "")</f>
        <v/>
      </c>
      <c r="I146" s="14" t="e">
        <f t="shared" si="7"/>
        <v>#N/A</v>
      </c>
      <c r="J146" s="14">
        <v>0.5</v>
      </c>
      <c r="K146" s="14" t="e">
        <f t="shared" si="8"/>
        <v>#N/A</v>
      </c>
      <c r="L146" s="14">
        <v>0.4</v>
      </c>
      <c r="N146" s="4"/>
      <c r="O146" s="4"/>
      <c r="P146" s="5"/>
      <c r="Q146" s="1"/>
      <c r="R146" s="2"/>
      <c r="S146" s="2"/>
      <c r="T146" s="1"/>
      <c r="U146" s="2"/>
      <c r="V146" s="2"/>
      <c r="W146" s="2"/>
    </row>
    <row r="147" spans="1:23">
      <c r="A147" s="13">
        <v>14.5</v>
      </c>
      <c r="B147" s="13">
        <f t="shared" si="0"/>
        <v>0</v>
      </c>
      <c r="C147" s="13" t="str">
        <f>IF(B147&gt;=$S$2, A147, "")</f>
        <v/>
      </c>
      <c r="D147" s="13" t="str">
        <f>IF(AND(B147=1, B147&gt;=$S$2), A147, "")</f>
        <v/>
      </c>
      <c r="E147" s="13">
        <f>IF(B147&gt;=$S$2, B147, 0)</f>
        <v>0</v>
      </c>
      <c r="F147" s="13">
        <f t="shared" si="1"/>
        <v>0</v>
      </c>
      <c r="G147" s="13">
        <f t="shared" si="2"/>
        <v>0</v>
      </c>
      <c r="H147" s="13" t="str">
        <f>IF(B147&gt;=$T$2, A147, "")</f>
        <v/>
      </c>
      <c r="I147" s="14" t="e">
        <f t="shared" si="7"/>
        <v>#N/A</v>
      </c>
      <c r="J147" s="14">
        <v>0.5</v>
      </c>
      <c r="K147" s="14" t="e">
        <f t="shared" si="8"/>
        <v>#N/A</v>
      </c>
      <c r="L147" s="14">
        <v>0.4</v>
      </c>
      <c r="N147" s="4"/>
      <c r="O147" s="4"/>
      <c r="P147" s="5"/>
      <c r="Q147" s="1"/>
      <c r="R147" s="2"/>
      <c r="S147" s="2"/>
      <c r="T147" s="1"/>
      <c r="U147" s="2"/>
      <c r="V147" s="2"/>
      <c r="W147" s="2"/>
    </row>
    <row r="148" spans="1:23">
      <c r="A148" s="13">
        <v>14.6</v>
      </c>
      <c r="B148" s="13">
        <f t="shared" si="0"/>
        <v>0</v>
      </c>
      <c r="C148" s="13" t="str">
        <f>IF(B148&gt;=$S$2, A148, "")</f>
        <v/>
      </c>
      <c r="D148" s="13" t="str">
        <f>IF(AND(B148=1, B148&gt;=$S$2), A148, "")</f>
        <v/>
      </c>
      <c r="E148" s="13">
        <f>IF(B148&gt;=$S$2, B148, 0)</f>
        <v>0</v>
      </c>
      <c r="F148" s="13">
        <f t="shared" si="1"/>
        <v>0</v>
      </c>
      <c r="G148" s="13">
        <f t="shared" si="2"/>
        <v>0</v>
      </c>
      <c r="H148" s="13" t="str">
        <f>IF(B148&gt;=$T$2, A148, "")</f>
        <v/>
      </c>
      <c r="I148" s="14" t="e">
        <f t="shared" si="7"/>
        <v>#N/A</v>
      </c>
      <c r="J148" s="14">
        <v>0.5</v>
      </c>
      <c r="K148" s="14" t="e">
        <f t="shared" si="8"/>
        <v>#N/A</v>
      </c>
      <c r="L148" s="14">
        <v>0.4</v>
      </c>
      <c r="N148" s="4"/>
      <c r="O148" s="4"/>
      <c r="P148" s="5"/>
      <c r="Q148" s="1"/>
      <c r="R148" s="2"/>
      <c r="S148" s="2"/>
      <c r="T148" s="1"/>
      <c r="U148" s="2"/>
      <c r="V148" s="2"/>
      <c r="W148" s="2"/>
    </row>
    <row r="149" spans="1:23">
      <c r="A149" s="13">
        <v>14.7</v>
      </c>
      <c r="B149" s="13">
        <f t="shared" si="0"/>
        <v>0</v>
      </c>
      <c r="C149" s="13" t="str">
        <f>IF(B149&gt;=$S$2, A149, "")</f>
        <v/>
      </c>
      <c r="D149" s="13" t="str">
        <f>IF(AND(B149=1, B149&gt;=$S$2), A149, "")</f>
        <v/>
      </c>
      <c r="E149" s="13">
        <f>IF(B149&gt;=$S$2, B149, 0)</f>
        <v>0</v>
      </c>
      <c r="F149" s="13">
        <f t="shared" si="1"/>
        <v>0</v>
      </c>
      <c r="G149" s="13">
        <f t="shared" si="2"/>
        <v>0</v>
      </c>
      <c r="H149" s="13" t="str">
        <f>IF(B149&gt;=$T$2, A149, "")</f>
        <v/>
      </c>
      <c r="I149" s="14" t="e">
        <f t="shared" si="7"/>
        <v>#N/A</v>
      </c>
      <c r="J149" s="14">
        <v>0.5</v>
      </c>
      <c r="K149" s="14" t="e">
        <f t="shared" si="8"/>
        <v>#N/A</v>
      </c>
      <c r="L149" s="14">
        <v>0.4</v>
      </c>
      <c r="N149" s="4"/>
      <c r="O149" s="4"/>
      <c r="P149" s="5"/>
      <c r="Q149" s="1"/>
      <c r="R149" s="2"/>
      <c r="S149" s="2"/>
      <c r="T149" s="1"/>
      <c r="U149" s="2"/>
      <c r="V149" s="2"/>
      <c r="W149" s="2"/>
    </row>
    <row r="150" spans="1:23">
      <c r="A150" s="13">
        <v>14.8</v>
      </c>
      <c r="B150" s="13">
        <f t="shared" si="0"/>
        <v>0</v>
      </c>
      <c r="C150" s="13" t="str">
        <f>IF(B150&gt;=$S$2, A150, "")</f>
        <v/>
      </c>
      <c r="D150" s="13" t="str">
        <f>IF(AND(B150=1, B150&gt;=$S$2), A150, "")</f>
        <v/>
      </c>
      <c r="E150" s="13">
        <f>IF(B150&gt;=$S$2, B150, 0)</f>
        <v>0</v>
      </c>
      <c r="F150" s="13">
        <f t="shared" si="1"/>
        <v>0</v>
      </c>
      <c r="G150" s="13">
        <f t="shared" si="2"/>
        <v>0</v>
      </c>
      <c r="H150" s="13" t="str">
        <f>IF(B150&gt;=$T$2, A150, "")</f>
        <v/>
      </c>
      <c r="I150" s="14" t="e">
        <f t="shared" si="7"/>
        <v>#N/A</v>
      </c>
      <c r="J150" s="14">
        <v>0.5</v>
      </c>
      <c r="K150" s="14" t="e">
        <f t="shared" si="8"/>
        <v>#N/A</v>
      </c>
      <c r="L150" s="14">
        <v>0.4</v>
      </c>
      <c r="N150" s="4"/>
      <c r="O150" s="4"/>
      <c r="P150" s="5"/>
      <c r="Q150" s="1"/>
      <c r="R150" s="2"/>
      <c r="S150" s="2"/>
      <c r="T150" s="1"/>
      <c r="U150" s="2"/>
      <c r="V150" s="2"/>
      <c r="W150" s="2"/>
    </row>
    <row r="151" spans="1:23">
      <c r="A151" s="13">
        <v>14.9</v>
      </c>
      <c r="B151" s="13">
        <f t="shared" si="0"/>
        <v>0</v>
      </c>
      <c r="C151" s="13" t="str">
        <f>IF(B151&gt;=$S$2, A151, "")</f>
        <v/>
      </c>
      <c r="D151" s="13" t="str">
        <f>IF(AND(B151=1, B151&gt;=$S$2), A151, "")</f>
        <v/>
      </c>
      <c r="E151" s="13">
        <f>IF(B151&gt;=$S$2, B151, 0)</f>
        <v>0</v>
      </c>
      <c r="F151" s="13">
        <f t="shared" si="1"/>
        <v>0</v>
      </c>
      <c r="G151" s="13">
        <f t="shared" si="2"/>
        <v>0</v>
      </c>
      <c r="H151" s="13" t="str">
        <f>IF(B151&gt;=$T$2, A151, "")</f>
        <v/>
      </c>
      <c r="I151" s="14" t="e">
        <f t="shared" si="7"/>
        <v>#N/A</v>
      </c>
      <c r="J151" s="14">
        <v>0.5</v>
      </c>
      <c r="K151" s="14" t="e">
        <f t="shared" si="8"/>
        <v>#N/A</v>
      </c>
      <c r="L151" s="14">
        <v>0.4</v>
      </c>
      <c r="N151" s="4"/>
      <c r="O151" s="4"/>
      <c r="P151" s="5"/>
      <c r="Q151" s="1"/>
      <c r="R151" s="2"/>
      <c r="S151" s="2"/>
      <c r="T151" s="1"/>
      <c r="U151" s="2"/>
      <c r="V151" s="2"/>
      <c r="W151" s="2"/>
    </row>
    <row r="152" spans="1:23">
      <c r="A152" s="13">
        <v>15</v>
      </c>
      <c r="B152" s="13">
        <f t="shared" si="0"/>
        <v>0</v>
      </c>
      <c r="C152" s="13" t="str">
        <f>IF(B152&gt;=$S$2, A152, "")</f>
        <v/>
      </c>
      <c r="D152" s="13" t="str">
        <f>IF(AND(B152=1, B152&gt;=$S$2), A152, "")</f>
        <v/>
      </c>
      <c r="E152" s="13">
        <f>IF(B152&gt;=$S$2, B152, 0)</f>
        <v>0</v>
      </c>
      <c r="F152" s="13">
        <f t="shared" si="1"/>
        <v>0</v>
      </c>
      <c r="G152" s="13">
        <f t="shared" si="2"/>
        <v>0</v>
      </c>
      <c r="H152" s="13" t="str">
        <f>IF(B152&gt;=$T$2, A152, "")</f>
        <v/>
      </c>
      <c r="I152" s="14" t="e">
        <f t="shared" si="7"/>
        <v>#N/A</v>
      </c>
      <c r="J152" s="14">
        <v>0.5</v>
      </c>
      <c r="K152" s="14" t="e">
        <f t="shared" si="8"/>
        <v>#N/A</v>
      </c>
      <c r="L152" s="14">
        <v>0.4</v>
      </c>
      <c r="N152" s="4"/>
      <c r="O152" s="4"/>
      <c r="P152" s="5"/>
      <c r="Q152" s="1"/>
      <c r="R152" s="2"/>
      <c r="S152" s="2"/>
      <c r="T152" s="1"/>
      <c r="U152" s="2"/>
      <c r="V152" s="2"/>
      <c r="W152" s="2"/>
    </row>
    <row r="153" spans="1:23">
      <c r="A153" s="13">
        <v>15.1</v>
      </c>
      <c r="B153" s="13">
        <f t="shared" si="0"/>
        <v>0</v>
      </c>
      <c r="C153" s="13" t="str">
        <f>IF(B153&gt;=$S$2, A153, "")</f>
        <v/>
      </c>
      <c r="D153" s="13" t="str">
        <f>IF(AND(B153=1, B153&gt;=$S$2), A153, "")</f>
        <v/>
      </c>
      <c r="E153" s="13">
        <f>IF(B153&gt;=$S$2, B153, 0)</f>
        <v>0</v>
      </c>
      <c r="F153" s="13">
        <f t="shared" si="1"/>
        <v>0</v>
      </c>
      <c r="G153" s="13">
        <f t="shared" si="2"/>
        <v>0</v>
      </c>
      <c r="H153" s="13" t="str">
        <f>IF(B153&gt;=$T$2, A153, "")</f>
        <v/>
      </c>
      <c r="I153" s="14" t="e">
        <f t="shared" si="7"/>
        <v>#N/A</v>
      </c>
      <c r="J153" s="14">
        <v>0.5</v>
      </c>
      <c r="K153" s="14" t="e">
        <f t="shared" si="8"/>
        <v>#N/A</v>
      </c>
      <c r="L153" s="14">
        <v>0.4</v>
      </c>
      <c r="N153" s="4"/>
      <c r="O153" s="4"/>
      <c r="P153" s="5"/>
      <c r="Q153" s="1"/>
      <c r="R153" s="2"/>
      <c r="S153" s="2"/>
      <c r="T153" s="1"/>
      <c r="U153" s="2"/>
      <c r="V153" s="2"/>
      <c r="W153" s="2"/>
    </row>
    <row r="154" spans="1:23">
      <c r="A154" s="13">
        <v>15.2</v>
      </c>
      <c r="B154" s="13">
        <f t="shared" si="0"/>
        <v>0</v>
      </c>
      <c r="C154" s="13" t="str">
        <f>IF(B154&gt;=$S$2, A154, "")</f>
        <v/>
      </c>
      <c r="D154" s="13" t="str">
        <f>IF(AND(B154=1, B154&gt;=$S$2), A154, "")</f>
        <v/>
      </c>
      <c r="E154" s="13">
        <f>IF(B154&gt;=$S$2, B154, 0)</f>
        <v>0</v>
      </c>
      <c r="F154" s="13">
        <f t="shared" si="1"/>
        <v>0</v>
      </c>
      <c r="G154" s="13">
        <f t="shared" si="2"/>
        <v>0</v>
      </c>
      <c r="H154" s="13" t="str">
        <f>IF(B154&gt;=$T$2, A154, "")</f>
        <v/>
      </c>
      <c r="I154" s="14" t="e">
        <f t="shared" si="7"/>
        <v>#N/A</v>
      </c>
      <c r="J154" s="14">
        <v>0.5</v>
      </c>
      <c r="K154" s="14" t="e">
        <f t="shared" si="8"/>
        <v>#N/A</v>
      </c>
      <c r="L154" s="14">
        <v>0.4</v>
      </c>
      <c r="N154" s="4"/>
      <c r="O154" s="4"/>
      <c r="P154" s="5"/>
      <c r="Q154" s="1"/>
      <c r="R154" s="2"/>
      <c r="S154" s="2"/>
      <c r="T154" s="1"/>
      <c r="U154" s="2"/>
      <c r="V154" s="2"/>
      <c r="W154" s="2"/>
    </row>
    <row r="155" spans="1:23">
      <c r="A155" s="13">
        <v>15.3</v>
      </c>
      <c r="B155" s="13">
        <f t="shared" si="0"/>
        <v>0</v>
      </c>
      <c r="C155" s="13" t="str">
        <f>IF(B155&gt;=$S$2, A155, "")</f>
        <v/>
      </c>
      <c r="D155" s="13" t="str">
        <f>IF(AND(B155=1, B155&gt;=$S$2), A155, "")</f>
        <v/>
      </c>
      <c r="E155" s="13">
        <f>IF(B155&gt;=$S$2, B155, 0)</f>
        <v>0</v>
      </c>
      <c r="F155" s="13">
        <f t="shared" si="1"/>
        <v>0</v>
      </c>
      <c r="G155" s="13">
        <f t="shared" si="2"/>
        <v>0</v>
      </c>
      <c r="H155" s="13" t="str">
        <f>IF(B155&gt;=$T$2, A155, "")</f>
        <v/>
      </c>
      <c r="I155" s="14" t="e">
        <f t="shared" si="7"/>
        <v>#N/A</v>
      </c>
      <c r="J155" s="14">
        <v>0.5</v>
      </c>
      <c r="K155" s="14" t="e">
        <f t="shared" si="8"/>
        <v>#N/A</v>
      </c>
      <c r="L155" s="14">
        <v>0.4</v>
      </c>
      <c r="N155" s="4"/>
      <c r="O155" s="4"/>
      <c r="P155" s="5"/>
      <c r="Q155" s="1"/>
      <c r="R155" s="2"/>
      <c r="S155" s="2"/>
      <c r="T155" s="1"/>
      <c r="U155" s="2"/>
      <c r="V155" s="2"/>
      <c r="W155" s="2"/>
    </row>
    <row r="156" spans="1:23">
      <c r="A156" s="13">
        <v>15.4</v>
      </c>
      <c r="B156" s="13">
        <f t="shared" si="0"/>
        <v>0</v>
      </c>
      <c r="C156" s="13" t="str">
        <f>IF(B156&gt;=$S$2, A156, "")</f>
        <v/>
      </c>
      <c r="D156" s="13" t="str">
        <f>IF(AND(B156=1, B156&gt;=$S$2), A156, "")</f>
        <v/>
      </c>
      <c r="E156" s="13">
        <f>IF(B156&gt;=$S$2, B156, 0)</f>
        <v>0</v>
      </c>
      <c r="F156" s="13">
        <f t="shared" si="1"/>
        <v>0</v>
      </c>
      <c r="G156" s="13">
        <f t="shared" si="2"/>
        <v>0</v>
      </c>
      <c r="H156" s="13" t="str">
        <f>IF(B156&gt;=$T$2, A156, "")</f>
        <v/>
      </c>
      <c r="I156" s="14" t="e">
        <f t="shared" si="7"/>
        <v>#N/A</v>
      </c>
      <c r="J156" s="14">
        <v>0.5</v>
      </c>
      <c r="K156" s="14" t="e">
        <f t="shared" si="8"/>
        <v>#N/A</v>
      </c>
      <c r="L156" s="14">
        <v>0.4</v>
      </c>
      <c r="N156" s="4"/>
      <c r="O156" s="4"/>
      <c r="P156" s="5"/>
      <c r="Q156" s="1"/>
      <c r="R156" s="2"/>
      <c r="S156" s="2"/>
      <c r="T156" s="1"/>
      <c r="U156" s="2"/>
      <c r="V156" s="2"/>
      <c r="W156" s="2"/>
    </row>
    <row r="157" spans="1:23">
      <c r="A157" s="13">
        <v>15.5</v>
      </c>
      <c r="B157" s="13">
        <f t="shared" si="0"/>
        <v>0</v>
      </c>
      <c r="C157" s="13" t="str">
        <f>IF(B157&gt;=$S$2, A157, "")</f>
        <v/>
      </c>
      <c r="D157" s="13" t="str">
        <f>IF(AND(B157=1, B157&gt;=$S$2), A157, "")</f>
        <v/>
      </c>
      <c r="E157" s="13">
        <f>IF(B157&gt;=$S$2, B157, 0)</f>
        <v>0</v>
      </c>
      <c r="F157" s="13">
        <f t="shared" si="1"/>
        <v>0</v>
      </c>
      <c r="G157" s="13">
        <f t="shared" si="2"/>
        <v>0</v>
      </c>
      <c r="H157" s="13" t="str">
        <f>IF(B157&gt;=$T$2, A157, "")</f>
        <v/>
      </c>
      <c r="I157" s="14" t="e">
        <f t="shared" si="7"/>
        <v>#N/A</v>
      </c>
      <c r="J157" s="14">
        <v>0.5</v>
      </c>
      <c r="K157" s="14" t="e">
        <f t="shared" si="8"/>
        <v>#N/A</v>
      </c>
      <c r="L157" s="14">
        <v>0.4</v>
      </c>
      <c r="N157" s="4"/>
      <c r="O157" s="4"/>
      <c r="P157" s="5"/>
      <c r="Q157" s="1"/>
      <c r="R157" s="2"/>
      <c r="S157" s="2"/>
      <c r="T157" s="1"/>
      <c r="U157" s="2"/>
      <c r="V157" s="2"/>
      <c r="W157" s="2"/>
    </row>
    <row r="158" spans="1:23">
      <c r="A158" s="13">
        <v>15.6</v>
      </c>
      <c r="B158" s="13">
        <f t="shared" si="0"/>
        <v>0</v>
      </c>
      <c r="C158" s="13" t="str">
        <f>IF(B158&gt;=$S$2, A158, "")</f>
        <v/>
      </c>
      <c r="D158" s="13" t="str">
        <f>IF(AND(B158=1, B158&gt;=$S$2), A158, "")</f>
        <v/>
      </c>
      <c r="E158" s="13">
        <f>IF(B158&gt;=$S$2, B158, 0)</f>
        <v>0</v>
      </c>
      <c r="F158" s="13">
        <f t="shared" si="1"/>
        <v>0</v>
      </c>
      <c r="G158" s="13">
        <f t="shared" si="2"/>
        <v>0</v>
      </c>
      <c r="H158" s="13" t="str">
        <f>IF(B158&gt;=$T$2, A158, "")</f>
        <v/>
      </c>
      <c r="I158" s="14" t="e">
        <f t="shared" si="7"/>
        <v>#N/A</v>
      </c>
      <c r="J158" s="14">
        <v>0.5</v>
      </c>
      <c r="K158" s="14" t="e">
        <f t="shared" si="8"/>
        <v>#N/A</v>
      </c>
      <c r="L158" s="14">
        <v>0.4</v>
      </c>
      <c r="N158" s="4"/>
      <c r="O158" s="4"/>
      <c r="P158" s="5"/>
      <c r="Q158" s="1"/>
      <c r="R158" s="2"/>
      <c r="S158" s="2"/>
      <c r="T158" s="1"/>
      <c r="U158" s="2"/>
      <c r="V158" s="2"/>
      <c r="W158" s="2"/>
    </row>
    <row r="159" spans="1:23">
      <c r="A159" s="13">
        <v>15.7</v>
      </c>
      <c r="B159" s="13">
        <f t="shared" si="0"/>
        <v>0</v>
      </c>
      <c r="C159" s="13" t="str">
        <f>IF(B159&gt;=$S$2, A159, "")</f>
        <v/>
      </c>
      <c r="D159" s="13" t="str">
        <f>IF(AND(B159=1, B159&gt;=$S$2), A159, "")</f>
        <v/>
      </c>
      <c r="E159" s="13">
        <f>IF(B159&gt;=$S$2, B159, 0)</f>
        <v>0</v>
      </c>
      <c r="F159" s="13">
        <f t="shared" si="1"/>
        <v>0</v>
      </c>
      <c r="G159" s="13">
        <f t="shared" si="2"/>
        <v>0</v>
      </c>
      <c r="H159" s="13" t="str">
        <f>IF(B159&gt;=$T$2, A159, "")</f>
        <v/>
      </c>
      <c r="I159" s="14" t="e">
        <f t="shared" si="7"/>
        <v>#N/A</v>
      </c>
      <c r="J159" s="14">
        <v>0.5</v>
      </c>
      <c r="K159" s="14" t="e">
        <f t="shared" si="8"/>
        <v>#N/A</v>
      </c>
      <c r="L159" s="14">
        <v>0.4</v>
      </c>
      <c r="N159" s="4"/>
      <c r="O159" s="4"/>
      <c r="P159" s="5"/>
      <c r="Q159" s="1"/>
      <c r="R159" s="2"/>
      <c r="S159" s="2"/>
      <c r="T159" s="1"/>
      <c r="U159" s="2"/>
      <c r="V159" s="2"/>
      <c r="W159" s="2"/>
    </row>
    <row r="160" spans="1:23">
      <c r="A160" s="13">
        <v>15.8</v>
      </c>
      <c r="B160" s="13">
        <f t="shared" si="0"/>
        <v>0</v>
      </c>
      <c r="C160" s="13" t="str">
        <f>IF(B160&gt;=$S$2, A160, "")</f>
        <v/>
      </c>
      <c r="D160" s="13" t="str">
        <f>IF(AND(B160=1, B160&gt;=$S$2), A160, "")</f>
        <v/>
      </c>
      <c r="E160" s="13">
        <f>IF(B160&gt;=$S$2, B160, 0)</f>
        <v>0</v>
      </c>
      <c r="F160" s="13">
        <f t="shared" si="1"/>
        <v>0</v>
      </c>
      <c r="G160" s="13">
        <f t="shared" si="2"/>
        <v>0</v>
      </c>
      <c r="H160" s="13" t="str">
        <f>IF(B160&gt;=$T$2, A160, "")</f>
        <v/>
      </c>
      <c r="I160" s="14" t="e">
        <f t="shared" si="7"/>
        <v>#N/A</v>
      </c>
      <c r="J160" s="14">
        <v>0.5</v>
      </c>
      <c r="K160" s="14" t="e">
        <f t="shared" si="8"/>
        <v>#N/A</v>
      </c>
      <c r="L160" s="14">
        <v>0.4</v>
      </c>
      <c r="N160" s="4"/>
      <c r="O160" s="4"/>
      <c r="P160" s="5"/>
      <c r="Q160" s="1"/>
      <c r="R160" s="2"/>
      <c r="S160" s="2"/>
      <c r="T160" s="1"/>
      <c r="U160" s="2"/>
      <c r="V160" s="2"/>
      <c r="W160" s="2"/>
    </row>
    <row r="161" spans="1:23">
      <c r="A161" s="13">
        <v>15.9</v>
      </c>
      <c r="B161" s="13">
        <f t="shared" si="0"/>
        <v>0</v>
      </c>
      <c r="C161" s="13" t="str">
        <f>IF(B161&gt;=$S$2, A161, "")</f>
        <v/>
      </c>
      <c r="D161" s="13" t="str">
        <f>IF(AND(B161=1, B161&gt;=$S$2), A161, "")</f>
        <v/>
      </c>
      <c r="E161" s="13">
        <f>IF(B161&gt;=$S$2, B161, 0)</f>
        <v>0</v>
      </c>
      <c r="F161" s="13">
        <f t="shared" si="1"/>
        <v>0</v>
      </c>
      <c r="G161" s="13">
        <f t="shared" si="2"/>
        <v>0</v>
      </c>
      <c r="H161" s="13" t="str">
        <f>IF(B161&gt;=$T$2, A161, "")</f>
        <v/>
      </c>
      <c r="I161" s="14" t="e">
        <f t="shared" si="7"/>
        <v>#N/A</v>
      </c>
      <c r="J161" s="14">
        <v>0.5</v>
      </c>
      <c r="K161" s="14" t="e">
        <f t="shared" si="8"/>
        <v>#N/A</v>
      </c>
      <c r="L161" s="14">
        <v>0.4</v>
      </c>
      <c r="N161" s="4"/>
      <c r="O161" s="4"/>
      <c r="P161" s="5"/>
      <c r="Q161" s="1"/>
      <c r="R161" s="2"/>
      <c r="S161" s="2"/>
      <c r="T161" s="1"/>
      <c r="U161" s="2"/>
      <c r="V161" s="2"/>
      <c r="W161" s="2"/>
    </row>
    <row r="162" spans="1:23">
      <c r="A162" s="13">
        <v>16</v>
      </c>
      <c r="B162" s="13">
        <f t="shared" si="0"/>
        <v>0</v>
      </c>
      <c r="C162" s="13" t="str">
        <f>IF(B162&gt;=$S$2, A162, "")</f>
        <v/>
      </c>
      <c r="D162" s="13" t="str">
        <f>IF(AND(B162=1, B162&gt;=$S$2), A162, "")</f>
        <v/>
      </c>
      <c r="E162" s="13">
        <f>IF(B162&gt;=$S$2, B162, 0)</f>
        <v>0</v>
      </c>
      <c r="F162" s="13">
        <f t="shared" si="1"/>
        <v>0</v>
      </c>
      <c r="G162" s="13">
        <f t="shared" si="2"/>
        <v>0</v>
      </c>
      <c r="H162" s="13" t="str">
        <f>IF(B162&gt;=$T$2, A162, "")</f>
        <v/>
      </c>
      <c r="I162" s="14" t="e">
        <f t="shared" si="7"/>
        <v>#N/A</v>
      </c>
      <c r="J162" s="14">
        <v>0.5</v>
      </c>
      <c r="K162" s="14" t="e">
        <f t="shared" si="8"/>
        <v>#N/A</v>
      </c>
      <c r="L162" s="14">
        <v>0.4</v>
      </c>
      <c r="N162" s="4"/>
      <c r="O162" s="4"/>
      <c r="P162" s="5"/>
      <c r="Q162" s="1"/>
      <c r="R162" s="2"/>
      <c r="S162" s="2"/>
      <c r="T162" s="1"/>
      <c r="U162" s="2"/>
      <c r="V162" s="2"/>
      <c r="W162" s="2"/>
    </row>
    <row r="163" spans="1:23">
      <c r="A163" s="13">
        <v>16.100000000000001</v>
      </c>
      <c r="B163" s="13">
        <f t="shared" si="0"/>
        <v>0</v>
      </c>
      <c r="C163" s="13" t="str">
        <f>IF(B163&gt;=$S$2, A163, "")</f>
        <v/>
      </c>
      <c r="D163" s="13" t="str">
        <f>IF(AND(B163=1, B163&gt;=$S$2), A163, "")</f>
        <v/>
      </c>
      <c r="E163" s="13">
        <f>IF(B163&gt;=$S$2, B163, 0)</f>
        <v>0</v>
      </c>
      <c r="F163" s="13">
        <f t="shared" si="1"/>
        <v>0</v>
      </c>
      <c r="G163" s="13">
        <f t="shared" si="2"/>
        <v>0</v>
      </c>
      <c r="H163" s="13" t="str">
        <f>IF(B163&gt;=$T$2, A163, "")</f>
        <v/>
      </c>
      <c r="I163" s="14" t="e">
        <f t="shared" si="7"/>
        <v>#N/A</v>
      </c>
      <c r="J163" s="14">
        <v>0.5</v>
      </c>
      <c r="K163" s="14" t="e">
        <f t="shared" si="8"/>
        <v>#N/A</v>
      </c>
      <c r="L163" s="14">
        <v>0.4</v>
      </c>
      <c r="N163" s="4"/>
      <c r="O163" s="4"/>
      <c r="P163" s="5"/>
      <c r="Q163" s="1"/>
      <c r="R163" s="2"/>
      <c r="S163" s="2"/>
      <c r="T163" s="1"/>
      <c r="U163" s="2"/>
      <c r="V163" s="2"/>
      <c r="W163" s="2"/>
    </row>
    <row r="164" spans="1:23">
      <c r="A164" s="13">
        <v>16.2</v>
      </c>
      <c r="B164" s="13">
        <f t="shared" si="0"/>
        <v>0</v>
      </c>
      <c r="C164" s="13" t="str">
        <f>IF(B164&gt;=$S$2, A164, "")</f>
        <v/>
      </c>
      <c r="D164" s="13" t="str">
        <f>IF(AND(B164=1, B164&gt;=$S$2), A164, "")</f>
        <v/>
      </c>
      <c r="E164" s="13">
        <f>IF(B164&gt;=$S$2, B164, 0)</f>
        <v>0</v>
      </c>
      <c r="F164" s="13">
        <f t="shared" si="1"/>
        <v>0</v>
      </c>
      <c r="G164" s="13">
        <f t="shared" si="2"/>
        <v>0</v>
      </c>
      <c r="H164" s="13" t="str">
        <f>IF(B164&gt;=$T$2, A164, "")</f>
        <v/>
      </c>
      <c r="I164" s="14" t="e">
        <f t="shared" si="7"/>
        <v>#N/A</v>
      </c>
      <c r="J164" s="14">
        <v>0.5</v>
      </c>
      <c r="K164" s="14" t="e">
        <f t="shared" si="8"/>
        <v>#N/A</v>
      </c>
      <c r="L164" s="14">
        <v>0.4</v>
      </c>
      <c r="N164" s="4"/>
      <c r="O164" s="4"/>
      <c r="P164" s="5"/>
      <c r="Q164" s="1"/>
      <c r="R164" s="2"/>
      <c r="S164" s="2"/>
      <c r="T164" s="1"/>
      <c r="U164" s="2"/>
      <c r="V164" s="2"/>
      <c r="W164" s="2"/>
    </row>
    <row r="165" spans="1:23">
      <c r="A165" s="13">
        <v>16.3</v>
      </c>
      <c r="B165" s="13">
        <f t="shared" si="0"/>
        <v>0</v>
      </c>
      <c r="C165" s="13" t="str">
        <f>IF(B165&gt;=$S$2, A165, "")</f>
        <v/>
      </c>
      <c r="D165" s="13" t="str">
        <f>IF(AND(B165=1, B165&gt;=$S$2), A165, "")</f>
        <v/>
      </c>
      <c r="E165" s="13">
        <f>IF(B165&gt;=$S$2, B165, 0)</f>
        <v>0</v>
      </c>
      <c r="F165" s="13">
        <f t="shared" si="1"/>
        <v>0</v>
      </c>
      <c r="G165" s="13">
        <f t="shared" si="2"/>
        <v>0</v>
      </c>
      <c r="H165" s="13" t="str">
        <f>IF(B165&gt;=$T$2, A165, "")</f>
        <v/>
      </c>
      <c r="I165" s="14" t="e">
        <f t="shared" si="7"/>
        <v>#N/A</v>
      </c>
      <c r="J165" s="14">
        <v>0.5</v>
      </c>
      <c r="K165" s="14" t="e">
        <f t="shared" si="8"/>
        <v>#N/A</v>
      </c>
      <c r="L165" s="14">
        <v>0.4</v>
      </c>
      <c r="N165" s="4"/>
      <c r="O165" s="4"/>
      <c r="P165" s="5"/>
      <c r="Q165" s="1"/>
      <c r="R165" s="2"/>
      <c r="S165" s="2"/>
      <c r="T165" s="1"/>
      <c r="U165" s="2"/>
      <c r="V165" s="2"/>
      <c r="W165" s="2"/>
    </row>
    <row r="166" spans="1:23">
      <c r="A166" s="13">
        <v>16.399999999999999</v>
      </c>
      <c r="B166" s="13">
        <f t="shared" si="0"/>
        <v>0</v>
      </c>
      <c r="C166" s="13" t="str">
        <f>IF(B166&gt;=$S$2, A166, "")</f>
        <v/>
      </c>
      <c r="D166" s="13" t="str">
        <f>IF(AND(B166=1, B166&gt;=$S$2), A166, "")</f>
        <v/>
      </c>
      <c r="E166" s="13">
        <f>IF(B166&gt;=$S$2, B166, 0)</f>
        <v>0</v>
      </c>
      <c r="F166" s="13">
        <f t="shared" si="1"/>
        <v>0</v>
      </c>
      <c r="G166" s="13">
        <f t="shared" si="2"/>
        <v>0</v>
      </c>
      <c r="H166" s="13" t="str">
        <f>IF(B166&gt;=$T$2, A166, "")</f>
        <v/>
      </c>
      <c r="I166" s="14" t="e">
        <f t="shared" si="7"/>
        <v>#N/A</v>
      </c>
      <c r="J166" s="14">
        <v>0.5</v>
      </c>
      <c r="K166" s="14" t="e">
        <f t="shared" si="8"/>
        <v>#N/A</v>
      </c>
      <c r="L166" s="14">
        <v>0.4</v>
      </c>
      <c r="N166" s="4"/>
      <c r="O166" s="4"/>
      <c r="P166" s="5"/>
      <c r="Q166" s="1"/>
      <c r="R166" s="2"/>
      <c r="S166" s="2"/>
      <c r="T166" s="1"/>
      <c r="U166" s="2"/>
      <c r="V166" s="2"/>
      <c r="W166" s="2"/>
    </row>
    <row r="167" spans="1:23">
      <c r="A167" s="13">
        <v>16.5</v>
      </c>
      <c r="B167" s="13">
        <f t="shared" si="0"/>
        <v>0</v>
      </c>
      <c r="C167" s="13" t="str">
        <f>IF(B167&gt;=$S$2, A167, "")</f>
        <v/>
      </c>
      <c r="D167" s="13" t="str">
        <f>IF(AND(B167=1, B167&gt;=$S$2), A167, "")</f>
        <v/>
      </c>
      <c r="E167" s="13">
        <f>IF(B167&gt;=$S$2, B167, 0)</f>
        <v>0</v>
      </c>
      <c r="F167" s="13">
        <f t="shared" si="1"/>
        <v>0</v>
      </c>
      <c r="G167" s="13">
        <f t="shared" si="2"/>
        <v>0</v>
      </c>
      <c r="H167" s="13" t="str">
        <f>IF(B167&gt;=$T$2, A167, "")</f>
        <v/>
      </c>
      <c r="I167" s="14" t="e">
        <f t="shared" si="7"/>
        <v>#N/A</v>
      </c>
      <c r="J167" s="14">
        <v>0.5</v>
      </c>
      <c r="K167" s="14" t="e">
        <f t="shared" si="8"/>
        <v>#N/A</v>
      </c>
      <c r="L167" s="14">
        <v>0.4</v>
      </c>
      <c r="N167" s="4"/>
      <c r="O167" s="4"/>
      <c r="P167" s="5"/>
      <c r="Q167" s="1"/>
      <c r="R167" s="2"/>
      <c r="S167" s="2"/>
      <c r="T167" s="1"/>
      <c r="U167" s="2"/>
      <c r="V167" s="2"/>
      <c r="W167" s="2"/>
    </row>
    <row r="168" spans="1:23">
      <c r="A168" s="13">
        <v>16.600000000000001</v>
      </c>
      <c r="B168" s="13">
        <f t="shared" si="0"/>
        <v>0</v>
      </c>
      <c r="C168" s="13" t="str">
        <f>IF(B168&gt;=$S$2, A168, "")</f>
        <v/>
      </c>
      <c r="D168" s="13" t="str">
        <f>IF(AND(B168=1, B168&gt;=$S$2), A168, "")</f>
        <v/>
      </c>
      <c r="E168" s="13">
        <f>IF(B168&gt;=$S$2, B168, 0)</f>
        <v>0</v>
      </c>
      <c r="F168" s="13">
        <f t="shared" si="1"/>
        <v>0</v>
      </c>
      <c r="G168" s="13">
        <f t="shared" si="2"/>
        <v>0</v>
      </c>
      <c r="H168" s="13" t="str">
        <f>IF(B168&gt;=$T$2, A168, "")</f>
        <v/>
      </c>
      <c r="I168" s="14" t="e">
        <f t="shared" si="7"/>
        <v>#N/A</v>
      </c>
      <c r="J168" s="14">
        <v>0.5</v>
      </c>
      <c r="K168" s="14" t="e">
        <f t="shared" si="8"/>
        <v>#N/A</v>
      </c>
      <c r="L168" s="14">
        <v>0.4</v>
      </c>
      <c r="N168" s="4"/>
      <c r="O168" s="4"/>
      <c r="P168" s="5"/>
      <c r="Q168" s="1"/>
      <c r="R168" s="2"/>
      <c r="S168" s="2"/>
      <c r="T168" s="1"/>
      <c r="U168" s="2"/>
      <c r="V168" s="2"/>
      <c r="W168" s="2"/>
    </row>
    <row r="169" spans="1:23">
      <c r="A169" s="13">
        <v>16.7</v>
      </c>
      <c r="B169" s="13">
        <f t="shared" si="0"/>
        <v>0</v>
      </c>
      <c r="C169" s="13" t="str">
        <f>IF(B169&gt;=$S$2, A169, "")</f>
        <v/>
      </c>
      <c r="D169" s="13" t="str">
        <f>IF(AND(B169=1, B169&gt;=$S$2), A169, "")</f>
        <v/>
      </c>
      <c r="E169" s="13">
        <f>IF(B169&gt;=$S$2, B169, 0)</f>
        <v>0</v>
      </c>
      <c r="F169" s="13">
        <f t="shared" si="1"/>
        <v>0</v>
      </c>
      <c r="G169" s="13">
        <f t="shared" si="2"/>
        <v>0</v>
      </c>
      <c r="H169" s="13" t="str">
        <f>IF(B169&gt;=$T$2, A169, "")</f>
        <v/>
      </c>
      <c r="I169" s="14" t="e">
        <f t="shared" si="7"/>
        <v>#N/A</v>
      </c>
      <c r="J169" s="14">
        <v>0.5</v>
      </c>
      <c r="K169" s="14" t="e">
        <f t="shared" si="8"/>
        <v>#N/A</v>
      </c>
      <c r="L169" s="14">
        <v>0.4</v>
      </c>
      <c r="N169" s="4"/>
      <c r="O169" s="4"/>
      <c r="P169" s="5"/>
      <c r="Q169" s="1"/>
      <c r="R169" s="2"/>
      <c r="S169" s="2"/>
      <c r="T169" s="1"/>
      <c r="U169" s="2"/>
      <c r="V169" s="2"/>
      <c r="W169" s="2"/>
    </row>
    <row r="170" spans="1:23">
      <c r="A170" s="13">
        <v>16.8</v>
      </c>
      <c r="B170" s="13">
        <f t="shared" si="0"/>
        <v>0</v>
      </c>
      <c r="C170" s="13" t="str">
        <f>IF(B170&gt;=$S$2, A170, "")</f>
        <v/>
      </c>
      <c r="D170" s="13" t="str">
        <f>IF(AND(B170=1, B170&gt;=$S$2), A170, "")</f>
        <v/>
      </c>
      <c r="E170" s="13">
        <f>IF(B170&gt;=$S$2, B170, 0)</f>
        <v>0</v>
      </c>
      <c r="F170" s="13">
        <f t="shared" si="1"/>
        <v>0</v>
      </c>
      <c r="G170" s="13">
        <f t="shared" si="2"/>
        <v>0</v>
      </c>
      <c r="H170" s="13" t="str">
        <f>IF(B170&gt;=$T$2, A170, "")</f>
        <v/>
      </c>
      <c r="I170" s="14" t="e">
        <f t="shared" si="7"/>
        <v>#N/A</v>
      </c>
      <c r="J170" s="14">
        <v>0.5</v>
      </c>
      <c r="K170" s="14" t="e">
        <f t="shared" si="8"/>
        <v>#N/A</v>
      </c>
      <c r="L170" s="14">
        <v>0.4</v>
      </c>
      <c r="N170" s="4"/>
      <c r="O170" s="4"/>
      <c r="P170" s="5"/>
      <c r="Q170" s="1"/>
      <c r="R170" s="2"/>
      <c r="S170" s="2"/>
      <c r="T170" s="1"/>
      <c r="U170" s="2"/>
      <c r="V170" s="2"/>
      <c r="W170" s="2"/>
    </row>
    <row r="171" spans="1:23">
      <c r="A171" s="13">
        <v>16.899999999999999</v>
      </c>
      <c r="B171" s="13">
        <f t="shared" si="0"/>
        <v>0</v>
      </c>
      <c r="C171" s="13" t="str">
        <f>IF(B171&gt;=$S$2, A171, "")</f>
        <v/>
      </c>
      <c r="D171" s="13" t="str">
        <f>IF(AND(B171=1, B171&gt;=$S$2), A171, "")</f>
        <v/>
      </c>
      <c r="E171" s="13">
        <f>IF(B171&gt;=$S$2, B171, 0)</f>
        <v>0</v>
      </c>
      <c r="F171" s="13">
        <f t="shared" si="1"/>
        <v>0</v>
      </c>
      <c r="G171" s="13">
        <f t="shared" si="2"/>
        <v>0</v>
      </c>
      <c r="H171" s="13" t="str">
        <f>IF(B171&gt;=$T$2, A171, "")</f>
        <v/>
      </c>
      <c r="I171" s="14" t="e">
        <f t="shared" si="7"/>
        <v>#N/A</v>
      </c>
      <c r="J171" s="14">
        <v>0.5</v>
      </c>
      <c r="K171" s="14" t="e">
        <f t="shared" si="8"/>
        <v>#N/A</v>
      </c>
      <c r="L171" s="14">
        <v>0.4</v>
      </c>
      <c r="N171" s="4"/>
      <c r="O171" s="4"/>
      <c r="P171" s="5"/>
      <c r="Q171" s="1"/>
      <c r="R171" s="2"/>
      <c r="S171" s="2"/>
      <c r="T171" s="1"/>
      <c r="U171" s="2"/>
      <c r="V171" s="2"/>
      <c r="W171" s="2"/>
    </row>
    <row r="172" spans="1:23">
      <c r="A172" s="13">
        <v>17</v>
      </c>
      <c r="B172" s="13">
        <f t="shared" si="0"/>
        <v>0</v>
      </c>
      <c r="C172" s="13" t="str">
        <f>IF(B172&gt;=$S$2, A172, "")</f>
        <v/>
      </c>
      <c r="D172" s="13" t="str">
        <f>IF(AND(B172=1, B172&gt;=$S$2), A172, "")</f>
        <v/>
      </c>
      <c r="E172" s="13">
        <f>IF(B172&gt;=$S$2, B172, 0)</f>
        <v>0</v>
      </c>
      <c r="F172" s="13">
        <f t="shared" si="1"/>
        <v>0</v>
      </c>
      <c r="G172" s="13">
        <f t="shared" si="2"/>
        <v>0</v>
      </c>
      <c r="H172" s="13" t="str">
        <f>IF(B172&gt;=$T$2, A172, "")</f>
        <v/>
      </c>
      <c r="I172" s="14" t="e">
        <f t="shared" si="7"/>
        <v>#N/A</v>
      </c>
      <c r="J172" s="14">
        <v>0.5</v>
      </c>
      <c r="K172" s="14" t="e">
        <f t="shared" si="8"/>
        <v>#N/A</v>
      </c>
      <c r="L172" s="14">
        <v>0.4</v>
      </c>
      <c r="N172" s="4"/>
      <c r="O172" s="4"/>
      <c r="P172" s="5"/>
      <c r="Q172" s="1"/>
      <c r="R172" s="2"/>
      <c r="S172" s="2"/>
      <c r="T172" s="1"/>
      <c r="U172" s="2"/>
      <c r="V172" s="2"/>
      <c r="W172" s="2"/>
    </row>
    <row r="173" spans="1:23">
      <c r="A173" s="13">
        <v>17.100000000000001</v>
      </c>
      <c r="B173" s="13">
        <f t="shared" si="0"/>
        <v>0</v>
      </c>
      <c r="C173" s="13" t="str">
        <f>IF(B173&gt;=$S$2, A173, "")</f>
        <v/>
      </c>
      <c r="D173" s="13" t="str">
        <f>IF(AND(B173=1, B173&gt;=$S$2), A173, "")</f>
        <v/>
      </c>
      <c r="E173" s="13">
        <f>IF(B173&gt;=$S$2, B173, 0)</f>
        <v>0</v>
      </c>
      <c r="F173" s="13">
        <f t="shared" si="1"/>
        <v>0</v>
      </c>
      <c r="G173" s="13">
        <f t="shared" si="2"/>
        <v>0</v>
      </c>
      <c r="H173" s="13" t="str">
        <f>IF(B173&gt;=$T$2, A173, "")</f>
        <v/>
      </c>
      <c r="I173" s="14" t="e">
        <f t="shared" si="7"/>
        <v>#N/A</v>
      </c>
      <c r="J173" s="14">
        <v>0.5</v>
      </c>
      <c r="K173" s="14" t="e">
        <f t="shared" si="8"/>
        <v>#N/A</v>
      </c>
      <c r="L173" s="14">
        <v>0.4</v>
      </c>
      <c r="N173" s="4"/>
      <c r="O173" s="4"/>
      <c r="P173" s="5"/>
      <c r="Q173" s="1"/>
      <c r="R173" s="2"/>
      <c r="S173" s="2"/>
      <c r="T173" s="1"/>
      <c r="U173" s="2"/>
      <c r="V173" s="2"/>
      <c r="W173" s="2"/>
    </row>
    <row r="174" spans="1:23">
      <c r="A174" s="13">
        <v>17.2</v>
      </c>
      <c r="B174" s="13">
        <f t="shared" si="0"/>
        <v>0</v>
      </c>
      <c r="C174" s="13" t="str">
        <f>IF(B174&gt;=$S$2, A174, "")</f>
        <v/>
      </c>
      <c r="D174" s="13" t="str">
        <f>IF(AND(B174=1, B174&gt;=$S$2), A174, "")</f>
        <v/>
      </c>
      <c r="E174" s="13">
        <f>IF(B174&gt;=$S$2, B174, 0)</f>
        <v>0</v>
      </c>
      <c r="F174" s="13">
        <f t="shared" si="1"/>
        <v>0</v>
      </c>
      <c r="G174" s="13">
        <f t="shared" si="2"/>
        <v>0</v>
      </c>
      <c r="H174" s="13" t="str">
        <f>IF(B174&gt;=$T$2, A174, "")</f>
        <v/>
      </c>
      <c r="I174" s="14" t="e">
        <f t="shared" si="7"/>
        <v>#N/A</v>
      </c>
      <c r="J174" s="14">
        <v>0.5</v>
      </c>
      <c r="K174" s="14" t="e">
        <f t="shared" si="8"/>
        <v>#N/A</v>
      </c>
      <c r="L174" s="14">
        <v>0.4</v>
      </c>
      <c r="N174" s="4"/>
      <c r="O174" s="4"/>
      <c r="P174" s="5"/>
      <c r="Q174" s="1"/>
      <c r="R174" s="2"/>
      <c r="S174" s="2"/>
      <c r="T174" s="1"/>
      <c r="U174" s="2"/>
      <c r="V174" s="2"/>
      <c r="W174" s="2"/>
    </row>
    <row r="175" spans="1:23">
      <c r="A175" s="13">
        <v>17.3</v>
      </c>
      <c r="B175" s="13">
        <f t="shared" si="0"/>
        <v>0</v>
      </c>
      <c r="C175" s="13" t="str">
        <f>IF(B175&gt;=$S$2, A175, "")</f>
        <v/>
      </c>
      <c r="D175" s="13" t="str">
        <f>IF(AND(B175=1, B175&gt;=$S$2), A175, "")</f>
        <v/>
      </c>
      <c r="E175" s="13">
        <f>IF(B175&gt;=$S$2, B175, 0)</f>
        <v>0</v>
      </c>
      <c r="F175" s="13">
        <f t="shared" si="1"/>
        <v>0</v>
      </c>
      <c r="G175" s="13">
        <f t="shared" si="2"/>
        <v>0</v>
      </c>
      <c r="H175" s="13" t="str">
        <f>IF(B175&gt;=$T$2, A175, "")</f>
        <v/>
      </c>
      <c r="I175" s="14" t="e">
        <f t="shared" si="7"/>
        <v>#N/A</v>
      </c>
      <c r="J175" s="14">
        <v>0.5</v>
      </c>
      <c r="K175" s="14" t="e">
        <f t="shared" si="8"/>
        <v>#N/A</v>
      </c>
      <c r="L175" s="14">
        <v>0.4</v>
      </c>
      <c r="N175" s="4"/>
      <c r="O175" s="4"/>
      <c r="P175" s="5"/>
      <c r="Q175" s="1"/>
      <c r="R175" s="2"/>
      <c r="S175" s="2"/>
      <c r="T175" s="1"/>
      <c r="U175" s="2"/>
      <c r="V175" s="2"/>
      <c r="W175" s="2"/>
    </row>
    <row r="176" spans="1:23">
      <c r="A176" s="13">
        <v>17.399999999999999</v>
      </c>
      <c r="B176" s="13">
        <f t="shared" si="0"/>
        <v>0</v>
      </c>
      <c r="C176" s="13" t="str">
        <f>IF(B176&gt;=$S$2, A176, "")</f>
        <v/>
      </c>
      <c r="D176" s="13" t="str">
        <f>IF(AND(B176=1, B176&gt;=$S$2), A176, "")</f>
        <v/>
      </c>
      <c r="E176" s="13">
        <f>IF(B176&gt;=$S$2, B176, 0)</f>
        <v>0</v>
      </c>
      <c r="F176" s="13">
        <f t="shared" si="1"/>
        <v>0</v>
      </c>
      <c r="G176" s="13">
        <f t="shared" si="2"/>
        <v>0</v>
      </c>
      <c r="H176" s="13" t="str">
        <f>IF(B176&gt;=$T$2, A176, "")</f>
        <v/>
      </c>
      <c r="I176" s="14" t="e">
        <f t="shared" si="7"/>
        <v>#N/A</v>
      </c>
      <c r="J176" s="14">
        <v>0.5</v>
      </c>
      <c r="K176" s="14" t="e">
        <f t="shared" si="8"/>
        <v>#N/A</v>
      </c>
      <c r="L176" s="14">
        <v>0.4</v>
      </c>
      <c r="N176" s="4"/>
      <c r="O176" s="4"/>
      <c r="P176" s="5"/>
      <c r="Q176" s="1"/>
      <c r="R176" s="2"/>
      <c r="S176" s="2"/>
      <c r="T176" s="1"/>
      <c r="U176" s="2"/>
      <c r="V176" s="2"/>
      <c r="W176" s="2"/>
    </row>
    <row r="177" spans="1:23">
      <c r="A177" s="13">
        <v>17.5</v>
      </c>
      <c r="B177" s="13">
        <f t="shared" si="0"/>
        <v>0</v>
      </c>
      <c r="C177" s="13" t="str">
        <f>IF(B177&gt;=$S$2, A177, "")</f>
        <v/>
      </c>
      <c r="D177" s="13" t="str">
        <f>IF(AND(B177=1, B177&gt;=$S$2), A177, "")</f>
        <v/>
      </c>
      <c r="E177" s="13">
        <f>IF(B177&gt;=$S$2, B177, 0)</f>
        <v>0</v>
      </c>
      <c r="F177" s="13">
        <f t="shared" si="1"/>
        <v>0</v>
      </c>
      <c r="G177" s="13">
        <f t="shared" si="2"/>
        <v>0</v>
      </c>
      <c r="H177" s="13" t="str">
        <f>IF(B177&gt;=$T$2, A177, "")</f>
        <v/>
      </c>
      <c r="I177" s="14" t="e">
        <f t="shared" si="7"/>
        <v>#N/A</v>
      </c>
      <c r="J177" s="14">
        <v>0.5</v>
      </c>
      <c r="K177" s="14" t="e">
        <f t="shared" si="8"/>
        <v>#N/A</v>
      </c>
      <c r="L177" s="14">
        <v>0.4</v>
      </c>
      <c r="N177" s="4"/>
      <c r="O177" s="4"/>
      <c r="P177" s="5"/>
      <c r="Q177" s="1"/>
      <c r="R177" s="2"/>
      <c r="S177" s="2"/>
      <c r="T177" s="1"/>
      <c r="U177" s="2"/>
      <c r="V177" s="2"/>
      <c r="W177" s="2"/>
    </row>
    <row r="178" spans="1:23">
      <c r="A178" s="13">
        <v>17.600000000000001</v>
      </c>
      <c r="B178" s="13">
        <f t="shared" si="0"/>
        <v>0</v>
      </c>
      <c r="C178" s="13" t="str">
        <f>IF(B178&gt;=$S$2, A178, "")</f>
        <v/>
      </c>
      <c r="D178" s="13" t="str">
        <f>IF(AND(B178=1, B178&gt;=$S$2), A178, "")</f>
        <v/>
      </c>
      <c r="E178" s="13">
        <f>IF(B178&gt;=$S$2, B178, 0)</f>
        <v>0</v>
      </c>
      <c r="F178" s="13">
        <f t="shared" si="1"/>
        <v>0</v>
      </c>
      <c r="G178" s="13">
        <f t="shared" si="2"/>
        <v>0</v>
      </c>
      <c r="H178" s="13" t="str">
        <f>IF(B178&gt;=$T$2, A178, "")</f>
        <v/>
      </c>
      <c r="I178" s="14" t="e">
        <f t="shared" si="7"/>
        <v>#N/A</v>
      </c>
      <c r="J178" s="14">
        <v>0.5</v>
      </c>
      <c r="K178" s="14" t="e">
        <f t="shared" si="8"/>
        <v>#N/A</v>
      </c>
      <c r="L178" s="14">
        <v>0.4</v>
      </c>
      <c r="N178" s="4"/>
      <c r="O178" s="4"/>
      <c r="P178" s="5"/>
      <c r="Q178" s="1"/>
      <c r="R178" s="2"/>
      <c r="S178" s="2"/>
      <c r="T178" s="1"/>
      <c r="U178" s="2"/>
      <c r="V178" s="2"/>
      <c r="W178" s="2"/>
    </row>
    <row r="179" spans="1:23">
      <c r="A179" s="13">
        <v>17.7</v>
      </c>
      <c r="B179" s="13">
        <f t="shared" si="0"/>
        <v>0</v>
      </c>
      <c r="C179" s="13" t="str">
        <f>IF(B179&gt;=$S$2, A179, "")</f>
        <v/>
      </c>
      <c r="D179" s="13" t="str">
        <f>IF(AND(B179=1, B179&gt;=$S$2), A179, "")</f>
        <v/>
      </c>
      <c r="E179" s="13">
        <f>IF(B179&gt;=$S$2, B179, 0)</f>
        <v>0</v>
      </c>
      <c r="F179" s="13">
        <f t="shared" si="1"/>
        <v>0</v>
      </c>
      <c r="G179" s="13">
        <f t="shared" si="2"/>
        <v>0</v>
      </c>
      <c r="H179" s="13" t="str">
        <f>IF(B179&gt;=$T$2, A179, "")</f>
        <v/>
      </c>
      <c r="I179" s="14" t="e">
        <f t="shared" si="7"/>
        <v>#N/A</v>
      </c>
      <c r="J179" s="14">
        <v>0.5</v>
      </c>
      <c r="K179" s="14" t="e">
        <f t="shared" si="8"/>
        <v>#N/A</v>
      </c>
      <c r="L179" s="14">
        <v>0.4</v>
      </c>
      <c r="N179" s="4"/>
      <c r="O179" s="4"/>
      <c r="P179" s="5"/>
      <c r="Q179" s="1"/>
      <c r="R179" s="2"/>
      <c r="S179" s="2"/>
      <c r="T179" s="1"/>
      <c r="U179" s="2"/>
      <c r="V179" s="2"/>
      <c r="W179" s="2"/>
    </row>
    <row r="180" spans="1:23">
      <c r="A180" s="13">
        <v>17.8</v>
      </c>
      <c r="B180" s="13">
        <f t="shared" si="0"/>
        <v>0</v>
      </c>
      <c r="C180" s="13" t="str">
        <f>IF(B180&gt;=$S$2, A180, "")</f>
        <v/>
      </c>
      <c r="D180" s="13" t="str">
        <f>IF(AND(B180=1, B180&gt;=$S$2), A180, "")</f>
        <v/>
      </c>
      <c r="E180" s="13">
        <f>IF(B180&gt;=$S$2, B180, 0)</f>
        <v>0</v>
      </c>
      <c r="F180" s="13">
        <f t="shared" si="1"/>
        <v>0</v>
      </c>
      <c r="G180" s="13">
        <f t="shared" si="2"/>
        <v>0</v>
      </c>
      <c r="H180" s="13" t="str">
        <f>IF(B180&gt;=$T$2, A180, "")</f>
        <v/>
      </c>
      <c r="I180" s="14" t="e">
        <f t="shared" si="7"/>
        <v>#N/A</v>
      </c>
      <c r="J180" s="14">
        <v>0.5</v>
      </c>
      <c r="K180" s="14" t="e">
        <f t="shared" si="8"/>
        <v>#N/A</v>
      </c>
      <c r="L180" s="14">
        <v>0.4</v>
      </c>
      <c r="N180" s="4"/>
      <c r="O180" s="4"/>
      <c r="P180" s="5"/>
      <c r="Q180" s="1"/>
      <c r="R180" s="2"/>
      <c r="S180" s="2"/>
      <c r="T180" s="1"/>
      <c r="U180" s="2"/>
      <c r="V180" s="2"/>
      <c r="W180" s="2"/>
    </row>
    <row r="181" spans="1:23">
      <c r="A181" s="13">
        <v>17.899999999999999</v>
      </c>
      <c r="B181" s="13">
        <f t="shared" si="0"/>
        <v>0</v>
      </c>
      <c r="C181" s="13" t="str">
        <f>IF(B181&gt;=$S$2, A181, "")</f>
        <v/>
      </c>
      <c r="D181" s="13" t="str">
        <f>IF(AND(B181=1, B181&gt;=$S$2), A181, "")</f>
        <v/>
      </c>
      <c r="E181" s="13">
        <f>IF(B181&gt;=$S$2, B181, 0)</f>
        <v>0</v>
      </c>
      <c r="F181" s="13">
        <f t="shared" si="1"/>
        <v>0</v>
      </c>
      <c r="G181" s="13">
        <f t="shared" si="2"/>
        <v>0</v>
      </c>
      <c r="H181" s="13" t="str">
        <f>IF(B181&gt;=$T$2, A181, "")</f>
        <v/>
      </c>
      <c r="I181" s="14" t="e">
        <f t="shared" si="7"/>
        <v>#N/A</v>
      </c>
      <c r="J181" s="14">
        <v>0.5</v>
      </c>
      <c r="K181" s="14" t="e">
        <f t="shared" si="8"/>
        <v>#N/A</v>
      </c>
      <c r="L181" s="14">
        <v>0.4</v>
      </c>
      <c r="N181" s="4"/>
      <c r="O181" s="4"/>
      <c r="P181" s="5"/>
      <c r="Q181" s="1"/>
      <c r="R181" s="2"/>
      <c r="S181" s="2"/>
      <c r="T181" s="1"/>
      <c r="U181" s="2"/>
      <c r="V181" s="2"/>
      <c r="W181" s="2"/>
    </row>
    <row r="182" spans="1:23">
      <c r="A182" s="13">
        <v>18</v>
      </c>
      <c r="B182" s="13">
        <f t="shared" si="0"/>
        <v>0</v>
      </c>
      <c r="C182" s="13" t="str">
        <f>IF(B182&gt;=$S$2, A182, "")</f>
        <v/>
      </c>
      <c r="D182" s="13" t="str">
        <f>IF(AND(B182=1, B182&gt;=$S$2), A182, "")</f>
        <v/>
      </c>
      <c r="E182" s="13">
        <f>IF(B182&gt;=$S$2, B182, 0)</f>
        <v>0</v>
      </c>
      <c r="F182" s="13">
        <f t="shared" si="1"/>
        <v>0</v>
      </c>
      <c r="G182" s="13">
        <f t="shared" si="2"/>
        <v>0</v>
      </c>
      <c r="H182" s="13" t="str">
        <f>IF(B182&gt;=$T$2, A182, "")</f>
        <v/>
      </c>
      <c r="I182" s="14" t="e">
        <f t="shared" si="7"/>
        <v>#N/A</v>
      </c>
      <c r="J182" s="14">
        <v>0.5</v>
      </c>
      <c r="K182" s="14" t="e">
        <f t="shared" si="8"/>
        <v>#N/A</v>
      </c>
      <c r="L182" s="14">
        <v>0.4</v>
      </c>
      <c r="N182" s="4"/>
      <c r="O182" s="4"/>
      <c r="P182" s="5"/>
      <c r="Q182" s="1"/>
      <c r="R182" s="2"/>
      <c r="S182" s="2"/>
      <c r="T182" s="1"/>
      <c r="U182" s="2"/>
      <c r="V182" s="2"/>
      <c r="W182" s="2"/>
    </row>
    <row r="183" spans="1:23">
      <c r="A183" s="13">
        <v>18.100000000000001</v>
      </c>
      <c r="B183" s="13">
        <f t="shared" si="0"/>
        <v>0</v>
      </c>
      <c r="C183" s="13" t="str">
        <f>IF(B183&gt;=$S$2, A183, "")</f>
        <v/>
      </c>
      <c r="D183" s="13" t="str">
        <f>IF(AND(B183=1, B183&gt;=$S$2), A183, "")</f>
        <v/>
      </c>
      <c r="E183" s="13">
        <f>IF(B183&gt;=$S$2, B183, 0)</f>
        <v>0</v>
      </c>
      <c r="F183" s="13">
        <f t="shared" si="1"/>
        <v>0</v>
      </c>
      <c r="G183" s="13">
        <f t="shared" si="2"/>
        <v>0</v>
      </c>
      <c r="H183" s="13" t="str">
        <f>IF(B183&gt;=$T$2, A183, "")</f>
        <v/>
      </c>
      <c r="I183" s="14" t="e">
        <f t="shared" si="7"/>
        <v>#N/A</v>
      </c>
      <c r="J183" s="14">
        <v>0.5</v>
      </c>
      <c r="K183" s="14" t="e">
        <f t="shared" si="8"/>
        <v>#N/A</v>
      </c>
      <c r="L183" s="14">
        <v>0.4</v>
      </c>
      <c r="N183" s="4"/>
      <c r="O183" s="4"/>
      <c r="P183" s="5"/>
      <c r="Q183" s="1"/>
      <c r="R183" s="2"/>
      <c r="S183" s="2"/>
      <c r="T183" s="1"/>
      <c r="U183" s="2"/>
      <c r="V183" s="2"/>
      <c r="W183" s="2"/>
    </row>
    <row r="184" spans="1:23">
      <c r="A184" s="13">
        <v>18.2</v>
      </c>
      <c r="B184" s="13">
        <f t="shared" si="0"/>
        <v>0</v>
      </c>
      <c r="C184" s="13" t="str">
        <f>IF(B184&gt;=$S$2, A184, "")</f>
        <v/>
      </c>
      <c r="D184" s="13" t="str">
        <f>IF(AND(B184=1, B184&gt;=$S$2), A184, "")</f>
        <v/>
      </c>
      <c r="E184" s="13">
        <f>IF(B184&gt;=$S$2, B184, 0)</f>
        <v>0</v>
      </c>
      <c r="F184" s="13">
        <f t="shared" si="1"/>
        <v>0</v>
      </c>
      <c r="G184" s="13">
        <f t="shared" si="2"/>
        <v>0</v>
      </c>
      <c r="H184" s="13" t="str">
        <f>IF(B184&gt;=$T$2, A184, "")</f>
        <v/>
      </c>
      <c r="I184" s="14" t="e">
        <f t="shared" si="7"/>
        <v>#N/A</v>
      </c>
      <c r="J184" s="14">
        <v>0.5</v>
      </c>
      <c r="K184" s="14" t="e">
        <f t="shared" si="8"/>
        <v>#N/A</v>
      </c>
      <c r="L184" s="14">
        <v>0.4</v>
      </c>
      <c r="N184" s="4"/>
      <c r="O184" s="4"/>
      <c r="P184" s="5"/>
      <c r="Q184" s="1"/>
      <c r="R184" s="2"/>
      <c r="S184" s="2"/>
      <c r="T184" s="1"/>
      <c r="U184" s="2"/>
      <c r="V184" s="2"/>
      <c r="W184" s="2"/>
    </row>
    <row r="185" spans="1:23">
      <c r="A185" s="13">
        <v>18.3</v>
      </c>
      <c r="B185" s="13">
        <f t="shared" si="0"/>
        <v>0</v>
      </c>
      <c r="C185" s="13" t="str">
        <f>IF(B185&gt;=$S$2, A185, "")</f>
        <v/>
      </c>
      <c r="D185" s="13" t="str">
        <f>IF(AND(B185=1, B185&gt;=$S$2), A185, "")</f>
        <v/>
      </c>
      <c r="E185" s="13">
        <f>IF(B185&gt;=$S$2, B185, 0)</f>
        <v>0</v>
      </c>
      <c r="F185" s="13">
        <f t="shared" si="1"/>
        <v>0</v>
      </c>
      <c r="G185" s="13">
        <f t="shared" si="2"/>
        <v>0</v>
      </c>
      <c r="H185" s="13" t="str">
        <f>IF(B185&gt;=$T$2, A185, "")</f>
        <v/>
      </c>
      <c r="I185" s="14" t="e">
        <f t="shared" si="7"/>
        <v>#N/A</v>
      </c>
      <c r="J185" s="14">
        <v>0.5</v>
      </c>
      <c r="K185" s="14" t="e">
        <f t="shared" si="8"/>
        <v>#N/A</v>
      </c>
      <c r="L185" s="14">
        <v>0.4</v>
      </c>
      <c r="N185" s="4"/>
      <c r="O185" s="4"/>
      <c r="P185" s="5"/>
      <c r="Q185" s="1"/>
      <c r="R185" s="2"/>
      <c r="S185" s="2"/>
      <c r="T185" s="1"/>
      <c r="U185" s="2"/>
      <c r="V185" s="2"/>
      <c r="W185" s="2"/>
    </row>
    <row r="186" spans="1:23">
      <c r="A186" s="13">
        <v>18.399999999999999</v>
      </c>
      <c r="B186" s="13">
        <f t="shared" si="0"/>
        <v>0</v>
      </c>
      <c r="C186" s="13" t="str">
        <f>IF(B186&gt;=$S$2, A186, "")</f>
        <v/>
      </c>
      <c r="D186" s="13" t="str">
        <f>IF(AND(B186=1, B186&gt;=$S$2), A186, "")</f>
        <v/>
      </c>
      <c r="E186" s="13">
        <f>IF(B186&gt;=$S$2, B186, 0)</f>
        <v>0</v>
      </c>
      <c r="F186" s="13">
        <f t="shared" si="1"/>
        <v>0</v>
      </c>
      <c r="G186" s="13">
        <f t="shared" si="2"/>
        <v>0</v>
      </c>
      <c r="H186" s="13" t="str">
        <f>IF(B186&gt;=$T$2, A186, "")</f>
        <v/>
      </c>
      <c r="I186" s="14" t="e">
        <f t="shared" si="7"/>
        <v>#N/A</v>
      </c>
      <c r="J186" s="14">
        <v>0.5</v>
      </c>
      <c r="K186" s="14" t="e">
        <f t="shared" si="8"/>
        <v>#N/A</v>
      </c>
      <c r="L186" s="14">
        <v>0.4</v>
      </c>
      <c r="N186" s="4"/>
      <c r="O186" s="4"/>
      <c r="P186" s="5"/>
      <c r="Q186" s="1"/>
      <c r="R186" s="2"/>
      <c r="S186" s="2"/>
      <c r="T186" s="1"/>
      <c r="U186" s="2"/>
      <c r="V186" s="2"/>
      <c r="W186" s="2"/>
    </row>
    <row r="187" spans="1:23">
      <c r="A187" s="13">
        <v>18.5</v>
      </c>
      <c r="B187" s="13">
        <f t="shared" si="0"/>
        <v>0</v>
      </c>
      <c r="C187" s="13" t="str">
        <f>IF(B187&gt;=$S$2, A187, "")</f>
        <v/>
      </c>
      <c r="D187" s="13" t="str">
        <f>IF(AND(B187=1, B187&gt;=$S$2), A187, "")</f>
        <v/>
      </c>
      <c r="E187" s="13">
        <f>IF(B187&gt;=$S$2, B187, 0)</f>
        <v>0</v>
      </c>
      <c r="F187" s="13">
        <f t="shared" si="1"/>
        <v>0</v>
      </c>
      <c r="G187" s="13">
        <f t="shared" si="2"/>
        <v>0</v>
      </c>
      <c r="H187" s="13" t="str">
        <f>IF(B187&gt;=$T$2, A187, "")</f>
        <v/>
      </c>
      <c r="I187" s="14" t="e">
        <f t="shared" si="7"/>
        <v>#N/A</v>
      </c>
      <c r="J187" s="14">
        <v>0.5</v>
      </c>
      <c r="K187" s="14" t="e">
        <f t="shared" si="8"/>
        <v>#N/A</v>
      </c>
      <c r="L187" s="14">
        <v>0.4</v>
      </c>
      <c r="N187" s="4"/>
      <c r="O187" s="4"/>
      <c r="P187" s="5"/>
      <c r="Q187" s="1"/>
      <c r="R187" s="2"/>
      <c r="S187" s="2"/>
      <c r="T187" s="1"/>
      <c r="U187" s="2"/>
      <c r="V187" s="2"/>
      <c r="W187" s="2"/>
    </row>
    <row r="188" spans="1:23">
      <c r="A188" s="13">
        <v>18.600000000000001</v>
      </c>
      <c r="B188" s="13">
        <f t="shared" si="0"/>
        <v>0</v>
      </c>
      <c r="C188" s="13" t="str">
        <f>IF(B188&gt;=$S$2, A188, "")</f>
        <v/>
      </c>
      <c r="D188" s="13" t="str">
        <f>IF(AND(B188=1, B188&gt;=$S$2), A188, "")</f>
        <v/>
      </c>
      <c r="E188" s="13">
        <f>IF(B188&gt;=$S$2, B188, 0)</f>
        <v>0</v>
      </c>
      <c r="F188" s="13">
        <f t="shared" si="1"/>
        <v>0</v>
      </c>
      <c r="G188" s="13">
        <f t="shared" si="2"/>
        <v>0</v>
      </c>
      <c r="H188" s="13" t="str">
        <f>IF(B188&gt;=$T$2, A188, "")</f>
        <v/>
      </c>
      <c r="I188" s="14" t="e">
        <f t="shared" si="7"/>
        <v>#N/A</v>
      </c>
      <c r="J188" s="14">
        <v>0.5</v>
      </c>
      <c r="K188" s="14" t="e">
        <f t="shared" si="8"/>
        <v>#N/A</v>
      </c>
      <c r="L188" s="14">
        <v>0.4</v>
      </c>
      <c r="N188" s="4"/>
      <c r="O188" s="4"/>
      <c r="P188" s="5"/>
      <c r="Q188" s="1"/>
      <c r="R188" s="2"/>
      <c r="S188" s="2"/>
      <c r="T188" s="1"/>
      <c r="U188" s="2"/>
      <c r="V188" s="2"/>
      <c r="W188" s="2"/>
    </row>
    <row r="189" spans="1:23">
      <c r="A189" s="13">
        <v>18.7</v>
      </c>
      <c r="B189" s="13">
        <f t="shared" si="0"/>
        <v>0</v>
      </c>
      <c r="C189" s="13" t="str">
        <f>IF(B189&gt;=$S$2, A189, "")</f>
        <v/>
      </c>
      <c r="D189" s="13" t="str">
        <f>IF(AND(B189=1, B189&gt;=$S$2), A189, "")</f>
        <v/>
      </c>
      <c r="E189" s="13">
        <f>IF(B189&gt;=$S$2, B189, 0)</f>
        <v>0</v>
      </c>
      <c r="F189" s="13">
        <f t="shared" si="1"/>
        <v>0</v>
      </c>
      <c r="G189" s="13">
        <f t="shared" si="2"/>
        <v>0</v>
      </c>
      <c r="H189" s="13" t="str">
        <f>IF(B189&gt;=$T$2, A189, "")</f>
        <v/>
      </c>
      <c r="I189" s="14" t="e">
        <f t="shared" si="7"/>
        <v>#N/A</v>
      </c>
      <c r="J189" s="14">
        <v>0.5</v>
      </c>
      <c r="K189" s="14" t="e">
        <f t="shared" si="8"/>
        <v>#N/A</v>
      </c>
      <c r="L189" s="14">
        <v>0.4</v>
      </c>
      <c r="N189" s="4"/>
      <c r="O189" s="4"/>
      <c r="P189" s="5"/>
      <c r="Q189" s="1"/>
      <c r="R189" s="2"/>
      <c r="S189" s="2"/>
      <c r="T189" s="1"/>
      <c r="U189" s="2"/>
      <c r="V189" s="2"/>
      <c r="W189" s="2"/>
    </row>
    <row r="190" spans="1:23">
      <c r="A190" s="13">
        <v>18.8</v>
      </c>
      <c r="B190" s="13">
        <f t="shared" si="0"/>
        <v>0</v>
      </c>
      <c r="C190" s="13" t="str">
        <f>IF(B190&gt;=$S$2, A190, "")</f>
        <v/>
      </c>
      <c r="D190" s="13" t="str">
        <f>IF(AND(B190=1, B190&gt;=$S$2), A190, "")</f>
        <v/>
      </c>
      <c r="E190" s="13">
        <f>IF(B190&gt;=$S$2, B190, 0)</f>
        <v>0</v>
      </c>
      <c r="F190" s="13">
        <f t="shared" si="1"/>
        <v>0</v>
      </c>
      <c r="G190" s="13">
        <f t="shared" si="2"/>
        <v>0</v>
      </c>
      <c r="H190" s="13" t="str">
        <f>IF(B190&gt;=$T$2, A190, "")</f>
        <v/>
      </c>
      <c r="I190" s="14" t="e">
        <f t="shared" si="7"/>
        <v>#N/A</v>
      </c>
      <c r="J190" s="14">
        <v>0.5</v>
      </c>
      <c r="K190" s="14" t="e">
        <f t="shared" si="8"/>
        <v>#N/A</v>
      </c>
      <c r="L190" s="14">
        <v>0.4</v>
      </c>
      <c r="N190" s="4"/>
      <c r="O190" s="4"/>
      <c r="P190" s="5"/>
      <c r="Q190" s="1"/>
      <c r="R190" s="2"/>
      <c r="S190" s="2"/>
      <c r="T190" s="1"/>
      <c r="U190" s="2"/>
      <c r="V190" s="2"/>
      <c r="W190" s="2"/>
    </row>
    <row r="191" spans="1:23">
      <c r="A191" s="13">
        <v>18.899999999999999</v>
      </c>
      <c r="B191" s="13">
        <f t="shared" si="0"/>
        <v>0</v>
      </c>
      <c r="C191" s="13" t="str">
        <f>IF(B191&gt;=$S$2, A191, "")</f>
        <v/>
      </c>
      <c r="D191" s="13" t="str">
        <f>IF(AND(B191=1, B191&gt;=$S$2), A191, "")</f>
        <v/>
      </c>
      <c r="E191" s="13">
        <f>IF(B191&gt;=$S$2, B191, 0)</f>
        <v>0</v>
      </c>
      <c r="F191" s="13">
        <f t="shared" si="1"/>
        <v>0</v>
      </c>
      <c r="G191" s="13">
        <f t="shared" si="2"/>
        <v>0</v>
      </c>
      <c r="H191" s="13" t="str">
        <f>IF(B191&gt;=$T$2, A191, "")</f>
        <v/>
      </c>
      <c r="I191" s="14" t="e">
        <f t="shared" si="7"/>
        <v>#N/A</v>
      </c>
      <c r="J191" s="14">
        <v>0.5</v>
      </c>
      <c r="K191" s="14" t="e">
        <f t="shared" si="8"/>
        <v>#N/A</v>
      </c>
      <c r="L191" s="14">
        <v>0.4</v>
      </c>
      <c r="N191" s="4"/>
      <c r="O191" s="4"/>
      <c r="P191" s="5"/>
      <c r="Q191" s="1"/>
      <c r="R191" s="2"/>
      <c r="S191" s="2"/>
      <c r="T191" s="1"/>
      <c r="U191" s="2"/>
      <c r="V191" s="2"/>
      <c r="W191" s="2"/>
    </row>
    <row r="192" spans="1:23">
      <c r="A192" s="13">
        <v>19</v>
      </c>
      <c r="B192" s="13">
        <f t="shared" si="0"/>
        <v>0</v>
      </c>
      <c r="C192" s="13" t="str">
        <f>IF(B192&gt;=$S$2, A192, "")</f>
        <v/>
      </c>
      <c r="D192" s="13" t="str">
        <f>IF(AND(B192=1, B192&gt;=$S$2), A192, "")</f>
        <v/>
      </c>
      <c r="E192" s="13">
        <f>IF(B192&gt;=$S$2, B192, 0)</f>
        <v>0</v>
      </c>
      <c r="F192" s="13">
        <f t="shared" si="1"/>
        <v>0</v>
      </c>
      <c r="G192" s="13">
        <f t="shared" si="2"/>
        <v>0</v>
      </c>
      <c r="H192" s="13" t="str">
        <f>IF(B192&gt;=$T$2, A192, "")</f>
        <v/>
      </c>
      <c r="I192" s="14" t="e">
        <f t="shared" si="7"/>
        <v>#N/A</v>
      </c>
      <c r="J192" s="14">
        <v>0.5</v>
      </c>
      <c r="K192" s="14" t="e">
        <f t="shared" si="8"/>
        <v>#N/A</v>
      </c>
      <c r="L192" s="14">
        <v>0.4</v>
      </c>
      <c r="N192" s="4"/>
      <c r="O192" s="4"/>
      <c r="P192" s="5"/>
      <c r="Q192" s="1"/>
      <c r="R192" s="2"/>
      <c r="S192" s="2"/>
      <c r="T192" s="1"/>
      <c r="U192" s="2"/>
      <c r="V192" s="2"/>
      <c r="W192" s="2"/>
    </row>
    <row r="193" spans="1:23">
      <c r="A193" s="13">
        <v>19.100000000000001</v>
      </c>
      <c r="B193" s="13">
        <f t="shared" si="0"/>
        <v>0</v>
      </c>
      <c r="C193" s="13" t="str">
        <f>IF(B193&gt;=$S$2, A193, "")</f>
        <v/>
      </c>
      <c r="D193" s="13" t="str">
        <f>IF(AND(B193=1, B193&gt;=$S$2), A193, "")</f>
        <v/>
      </c>
      <c r="E193" s="13">
        <f>IF(B193&gt;=$S$2, B193, 0)</f>
        <v>0</v>
      </c>
      <c r="F193" s="13">
        <f t="shared" si="1"/>
        <v>0</v>
      </c>
      <c r="G193" s="13">
        <f t="shared" si="2"/>
        <v>0</v>
      </c>
      <c r="H193" s="13" t="str">
        <f>IF(B193&gt;=$T$2, A193, "")</f>
        <v/>
      </c>
      <c r="I193" s="14" t="e">
        <f t="shared" si="7"/>
        <v>#N/A</v>
      </c>
      <c r="J193" s="14">
        <v>0.5</v>
      </c>
      <c r="K193" s="14" t="e">
        <f t="shared" si="8"/>
        <v>#N/A</v>
      </c>
      <c r="L193" s="14">
        <v>0.4</v>
      </c>
      <c r="N193" s="4"/>
      <c r="O193" s="4"/>
      <c r="P193" s="5"/>
      <c r="Q193" s="1"/>
      <c r="R193" s="2"/>
      <c r="S193" s="2"/>
      <c r="T193" s="1"/>
      <c r="U193" s="2"/>
      <c r="V193" s="2"/>
      <c r="W193" s="2"/>
    </row>
    <row r="194" spans="1:23">
      <c r="A194" s="13">
        <v>19.2</v>
      </c>
      <c r="B194" s="13">
        <f t="shared" si="0"/>
        <v>0</v>
      </c>
      <c r="C194" s="13" t="str">
        <f>IF(B194&gt;=$S$2, A194, "")</f>
        <v/>
      </c>
      <c r="D194" s="13" t="str">
        <f>IF(AND(B194=1, B194&gt;=$S$2), A194, "")</f>
        <v/>
      </c>
      <c r="E194" s="13">
        <f>IF(B194&gt;=$S$2, B194, 0)</f>
        <v>0</v>
      </c>
      <c r="F194" s="13">
        <f t="shared" si="1"/>
        <v>0</v>
      </c>
      <c r="G194" s="13">
        <f t="shared" si="2"/>
        <v>0</v>
      </c>
      <c r="H194" s="13" t="str">
        <f>IF(B194&gt;=$T$2, A194, "")</f>
        <v/>
      </c>
      <c r="I194" s="14" t="e">
        <f t="shared" si="7"/>
        <v>#N/A</v>
      </c>
      <c r="J194" s="14">
        <v>0.5</v>
      </c>
      <c r="K194" s="14" t="e">
        <f t="shared" si="8"/>
        <v>#N/A</v>
      </c>
      <c r="L194" s="14">
        <v>0.4</v>
      </c>
      <c r="N194" s="4"/>
      <c r="O194" s="4"/>
      <c r="P194" s="5"/>
      <c r="Q194" s="1"/>
      <c r="R194" s="2"/>
      <c r="S194" s="2"/>
      <c r="T194" s="1"/>
      <c r="U194" s="2"/>
      <c r="V194" s="2"/>
      <c r="W194" s="2"/>
    </row>
    <row r="195" spans="1:23">
      <c r="A195" s="13">
        <v>19.3</v>
      </c>
      <c r="B195" s="13">
        <f t="shared" si="0"/>
        <v>0</v>
      </c>
      <c r="C195" s="13" t="str">
        <f>IF(B195&gt;=$S$2, A195, "")</f>
        <v/>
      </c>
      <c r="D195" s="13" t="str">
        <f>IF(AND(B195=1, B195&gt;=$S$2), A195, "")</f>
        <v/>
      </c>
      <c r="E195" s="13">
        <f>IF(B195&gt;=$S$2, B195, 0)</f>
        <v>0</v>
      </c>
      <c r="F195" s="13">
        <f t="shared" si="1"/>
        <v>0</v>
      </c>
      <c r="G195" s="13">
        <f t="shared" si="2"/>
        <v>0</v>
      </c>
      <c r="H195" s="13" t="str">
        <f>IF(B195&gt;=$T$2, A195, "")</f>
        <v/>
      </c>
      <c r="I195" s="14" t="e">
        <f t="shared" ref="I195:I258" si="9">IF($B195&gt;=0.5, $B195, #N/A)</f>
        <v>#N/A</v>
      </c>
      <c r="J195" s="14">
        <v>0.5</v>
      </c>
      <c r="K195" s="14" t="e">
        <f t="shared" ref="K195:K258" si="10">IF($B195&gt;=0.4, $B195, #N/A)</f>
        <v>#N/A</v>
      </c>
      <c r="L195" s="14">
        <v>0.4</v>
      </c>
      <c r="N195" s="4"/>
      <c r="O195" s="4"/>
      <c r="P195" s="5"/>
      <c r="Q195" s="1"/>
      <c r="R195" s="2"/>
      <c r="S195" s="2"/>
      <c r="T195" s="1"/>
      <c r="U195" s="2"/>
      <c r="V195" s="2"/>
      <c r="W195" s="2"/>
    </row>
    <row r="196" spans="1:23">
      <c r="A196" s="13">
        <v>19.399999999999999</v>
      </c>
      <c r="B196" s="13">
        <f t="shared" si="0"/>
        <v>0</v>
      </c>
      <c r="C196" s="13" t="str">
        <f>IF(B196&gt;=$S$2, A196, "")</f>
        <v/>
      </c>
      <c r="D196" s="13" t="str">
        <f>IF(AND(B196=1, B196&gt;=$S$2), A196, "")</f>
        <v/>
      </c>
      <c r="E196" s="13">
        <f>IF(B196&gt;=$S$2, B196, 0)</f>
        <v>0</v>
      </c>
      <c r="F196" s="13">
        <f t="shared" si="1"/>
        <v>0</v>
      </c>
      <c r="G196" s="13">
        <f t="shared" si="2"/>
        <v>0</v>
      </c>
      <c r="H196" s="13" t="str">
        <f>IF(B196&gt;=$T$2, A196, "")</f>
        <v/>
      </c>
      <c r="I196" s="14" t="e">
        <f t="shared" si="9"/>
        <v>#N/A</v>
      </c>
      <c r="J196" s="14">
        <v>0.5</v>
      </c>
      <c r="K196" s="14" t="e">
        <f t="shared" si="10"/>
        <v>#N/A</v>
      </c>
      <c r="L196" s="14">
        <v>0.4</v>
      </c>
      <c r="N196" s="4"/>
      <c r="O196" s="4"/>
      <c r="P196" s="5"/>
      <c r="Q196" s="1"/>
      <c r="R196" s="2"/>
      <c r="S196" s="2"/>
      <c r="T196" s="1"/>
      <c r="U196" s="2"/>
      <c r="V196" s="2"/>
      <c r="W196" s="2"/>
    </row>
    <row r="197" spans="1:23">
      <c r="A197" s="13">
        <v>19.5</v>
      </c>
      <c r="B197" s="13">
        <f t="shared" si="0"/>
        <v>0</v>
      </c>
      <c r="C197" s="13" t="str">
        <f>IF(B197&gt;=$S$2, A197, "")</f>
        <v/>
      </c>
      <c r="D197" s="13" t="str">
        <f>IF(AND(B197=1, B197&gt;=$S$2), A197, "")</f>
        <v/>
      </c>
      <c r="E197" s="13">
        <f>IF(B197&gt;=$S$2, B197, 0)</f>
        <v>0</v>
      </c>
      <c r="F197" s="13">
        <f t="shared" si="1"/>
        <v>0</v>
      </c>
      <c r="G197" s="13">
        <f t="shared" si="2"/>
        <v>0</v>
      </c>
      <c r="H197" s="13" t="str">
        <f>IF(B197&gt;=$T$2, A197, "")</f>
        <v/>
      </c>
      <c r="I197" s="14" t="e">
        <f t="shared" si="9"/>
        <v>#N/A</v>
      </c>
      <c r="J197" s="14">
        <v>0.5</v>
      </c>
      <c r="K197" s="14" t="e">
        <f t="shared" si="10"/>
        <v>#N/A</v>
      </c>
      <c r="L197" s="14">
        <v>0.4</v>
      </c>
      <c r="N197" s="4"/>
      <c r="O197" s="4"/>
      <c r="P197" s="5"/>
      <c r="Q197" s="1"/>
      <c r="R197" s="2"/>
      <c r="S197" s="2"/>
      <c r="T197" s="1"/>
      <c r="U197" s="2"/>
      <c r="V197" s="2"/>
      <c r="W197" s="2"/>
    </row>
    <row r="198" spans="1:23">
      <c r="A198" s="13">
        <v>19.600000000000001</v>
      </c>
      <c r="B198" s="13">
        <f t="shared" si="0"/>
        <v>0</v>
      </c>
      <c r="C198" s="13" t="str">
        <f>IF(B198&gt;=$S$2, A198, "")</f>
        <v/>
      </c>
      <c r="D198" s="13" t="str">
        <f>IF(AND(B198=1, B198&gt;=$S$2), A198, "")</f>
        <v/>
      </c>
      <c r="E198" s="13">
        <f>IF(B198&gt;=$S$2, B198, 0)</f>
        <v>0</v>
      </c>
      <c r="F198" s="13">
        <f t="shared" si="1"/>
        <v>0</v>
      </c>
      <c r="G198" s="13">
        <f t="shared" si="2"/>
        <v>0</v>
      </c>
      <c r="H198" s="13" t="str">
        <f>IF(B198&gt;=$T$2, A198, "")</f>
        <v/>
      </c>
      <c r="I198" s="14" t="e">
        <f t="shared" si="9"/>
        <v>#N/A</v>
      </c>
      <c r="J198" s="14">
        <v>0.5</v>
      </c>
      <c r="K198" s="14" t="e">
        <f t="shared" si="10"/>
        <v>#N/A</v>
      </c>
      <c r="L198" s="14">
        <v>0.4</v>
      </c>
      <c r="N198" s="4"/>
      <c r="O198" s="4"/>
      <c r="P198" s="5"/>
      <c r="Q198" s="1"/>
      <c r="R198" s="2"/>
      <c r="S198" s="2"/>
      <c r="T198" s="1"/>
      <c r="U198" s="2"/>
      <c r="V198" s="2"/>
      <c r="W198" s="2"/>
    </row>
    <row r="199" spans="1:23">
      <c r="A199" s="13">
        <v>19.7</v>
      </c>
      <c r="B199" s="13">
        <f t="shared" si="0"/>
        <v>0</v>
      </c>
      <c r="C199" s="13" t="str">
        <f>IF(B199&gt;=$S$2, A199, "")</f>
        <v/>
      </c>
      <c r="D199" s="13" t="str">
        <f>IF(AND(B199=1, B199&gt;=$S$2), A199, "")</f>
        <v/>
      </c>
      <c r="E199" s="13">
        <f>IF(B199&gt;=$S$2, B199, 0)</f>
        <v>0</v>
      </c>
      <c r="F199" s="13">
        <f t="shared" si="1"/>
        <v>0</v>
      </c>
      <c r="G199" s="13">
        <f t="shared" si="2"/>
        <v>0</v>
      </c>
      <c r="H199" s="13" t="str">
        <f>IF(B199&gt;=$T$2, A199, "")</f>
        <v/>
      </c>
      <c r="I199" s="14" t="e">
        <f t="shared" si="9"/>
        <v>#N/A</v>
      </c>
      <c r="J199" s="14">
        <v>0.5</v>
      </c>
      <c r="K199" s="14" t="e">
        <f t="shared" si="10"/>
        <v>#N/A</v>
      </c>
      <c r="L199" s="14">
        <v>0.4</v>
      </c>
      <c r="N199" s="4"/>
      <c r="O199" s="4"/>
      <c r="P199" s="5"/>
      <c r="Q199" s="1"/>
      <c r="R199" s="2"/>
      <c r="S199" s="2"/>
      <c r="T199" s="1"/>
      <c r="U199" s="2"/>
      <c r="V199" s="2"/>
      <c r="W199" s="2"/>
    </row>
    <row r="200" spans="1:23">
      <c r="A200" s="13">
        <v>19.8</v>
      </c>
      <c r="B200" s="13">
        <f t="shared" si="0"/>
        <v>0</v>
      </c>
      <c r="C200" s="13" t="str">
        <f>IF(B200&gt;=$S$2, A200, "")</f>
        <v/>
      </c>
      <c r="D200" s="13" t="str">
        <f>IF(AND(B200=1, B200&gt;=$S$2), A200, "")</f>
        <v/>
      </c>
      <c r="E200" s="13">
        <f>IF(B200&gt;=$S$2, B200, 0)</f>
        <v>0</v>
      </c>
      <c r="F200" s="13">
        <f t="shared" si="1"/>
        <v>0</v>
      </c>
      <c r="G200" s="13">
        <f t="shared" si="2"/>
        <v>0</v>
      </c>
      <c r="H200" s="13" t="str">
        <f>IF(B200&gt;=$T$2, A200, "")</f>
        <v/>
      </c>
      <c r="I200" s="14" t="e">
        <f t="shared" si="9"/>
        <v>#N/A</v>
      </c>
      <c r="J200" s="14">
        <v>0.5</v>
      </c>
      <c r="K200" s="14" t="e">
        <f t="shared" si="10"/>
        <v>#N/A</v>
      </c>
      <c r="L200" s="14">
        <v>0.4</v>
      </c>
      <c r="N200" s="4"/>
      <c r="O200" s="4"/>
      <c r="P200" s="5"/>
      <c r="Q200" s="1"/>
      <c r="R200" s="2"/>
      <c r="S200" s="2"/>
      <c r="T200" s="1"/>
      <c r="U200" s="2"/>
      <c r="V200" s="2"/>
      <c r="W200" s="2"/>
    </row>
    <row r="201" spans="1:23">
      <c r="A201" s="13">
        <v>19.899999999999999</v>
      </c>
      <c r="B201" s="13">
        <f t="shared" si="0"/>
        <v>0</v>
      </c>
      <c r="C201" s="13" t="str">
        <f>IF(B201&gt;=$S$2, A201, "")</f>
        <v/>
      </c>
      <c r="D201" s="13" t="str">
        <f>IF(AND(B201=1, B201&gt;=$S$2), A201, "")</f>
        <v/>
      </c>
      <c r="E201" s="13">
        <f>IF(B201&gt;=$S$2, B201, 0)</f>
        <v>0</v>
      </c>
      <c r="F201" s="13">
        <f t="shared" si="1"/>
        <v>0</v>
      </c>
      <c r="G201" s="13">
        <f t="shared" si="2"/>
        <v>0</v>
      </c>
      <c r="H201" s="13" t="str">
        <f>IF(B201&gt;=$T$2, A201, "")</f>
        <v/>
      </c>
      <c r="I201" s="14" t="e">
        <f t="shared" si="9"/>
        <v>#N/A</v>
      </c>
      <c r="J201" s="14">
        <v>0.5</v>
      </c>
      <c r="K201" s="14" t="e">
        <f t="shared" si="10"/>
        <v>#N/A</v>
      </c>
      <c r="L201" s="14">
        <v>0.4</v>
      </c>
      <c r="N201" s="4"/>
      <c r="O201" s="4"/>
      <c r="P201" s="5"/>
      <c r="Q201" s="1"/>
      <c r="R201" s="2"/>
      <c r="S201" s="2"/>
      <c r="T201" s="1"/>
      <c r="U201" s="2"/>
      <c r="V201" s="2"/>
      <c r="W201" s="2"/>
    </row>
    <row r="202" spans="1:23">
      <c r="A202" s="13">
        <v>20</v>
      </c>
      <c r="B202" s="13">
        <f t="shared" si="0"/>
        <v>0</v>
      </c>
      <c r="C202" s="13" t="str">
        <f>IF(B202&gt;=$S$2, A202, "")</f>
        <v/>
      </c>
      <c r="D202" s="13" t="str">
        <f>IF(AND(B202=1, B202&gt;=$S$2), A202, "")</f>
        <v/>
      </c>
      <c r="E202" s="13">
        <f>IF(B202&gt;=$S$2, B202, 0)</f>
        <v>0</v>
      </c>
      <c r="F202" s="13">
        <f t="shared" si="1"/>
        <v>0</v>
      </c>
      <c r="G202" s="13">
        <f t="shared" si="2"/>
        <v>0</v>
      </c>
      <c r="H202" s="13" t="str">
        <f>IF(B202&gt;=$T$2, A202, "")</f>
        <v/>
      </c>
      <c r="I202" s="14" t="e">
        <f t="shared" si="9"/>
        <v>#N/A</v>
      </c>
      <c r="J202" s="14">
        <v>0.5</v>
      </c>
      <c r="K202" s="14" t="e">
        <f t="shared" si="10"/>
        <v>#N/A</v>
      </c>
      <c r="L202" s="14">
        <v>0.4</v>
      </c>
      <c r="N202" s="4"/>
      <c r="O202" s="4"/>
      <c r="P202" s="5"/>
      <c r="Q202" s="1"/>
      <c r="R202" s="2"/>
      <c r="S202" s="2"/>
      <c r="T202" s="1"/>
      <c r="U202" s="2"/>
      <c r="V202" s="2"/>
      <c r="W202" s="2"/>
    </row>
    <row r="203" spans="1:23">
      <c r="A203" s="13">
        <v>20.100000000000001</v>
      </c>
      <c r="B203" s="13">
        <f t="shared" si="0"/>
        <v>0</v>
      </c>
      <c r="C203" s="13" t="str">
        <f>IF(B203&gt;=$S$2, A203, "")</f>
        <v/>
      </c>
      <c r="D203" s="13" t="str">
        <f>IF(AND(B203=1, B203&gt;=$S$2), A203, "")</f>
        <v/>
      </c>
      <c r="E203" s="13">
        <f>IF(B203&gt;=$S$2, B203, 0)</f>
        <v>0</v>
      </c>
      <c r="F203" s="13">
        <f t="shared" si="1"/>
        <v>0</v>
      </c>
      <c r="G203" s="13">
        <f t="shared" si="2"/>
        <v>0</v>
      </c>
      <c r="H203" s="13" t="str">
        <f>IF(B203&gt;=$T$2, A203, "")</f>
        <v/>
      </c>
      <c r="I203" s="14" t="e">
        <f t="shared" si="9"/>
        <v>#N/A</v>
      </c>
      <c r="J203" s="14">
        <v>0.5</v>
      </c>
      <c r="K203" s="14" t="e">
        <f t="shared" si="10"/>
        <v>#N/A</v>
      </c>
      <c r="L203" s="14">
        <v>0.4</v>
      </c>
      <c r="N203" s="4"/>
      <c r="O203" s="4"/>
      <c r="P203" s="5"/>
      <c r="Q203" s="1"/>
      <c r="R203" s="2"/>
      <c r="S203" s="2"/>
      <c r="T203" s="1"/>
      <c r="U203" s="2"/>
      <c r="V203" s="2"/>
      <c r="W203" s="2"/>
    </row>
    <row r="204" spans="1:23">
      <c r="A204" s="13">
        <v>20.2</v>
      </c>
      <c r="B204" s="13">
        <f t="shared" si="0"/>
        <v>0</v>
      </c>
      <c r="C204" s="13" t="str">
        <f>IF(B204&gt;=$S$2, A204, "")</f>
        <v/>
      </c>
      <c r="D204" s="13" t="str">
        <f>IF(AND(B204=1, B204&gt;=$S$2), A204, "")</f>
        <v/>
      </c>
      <c r="E204" s="13">
        <f>IF(B204&gt;=$S$2, B204, 0)</f>
        <v>0</v>
      </c>
      <c r="F204" s="13">
        <f t="shared" si="1"/>
        <v>0</v>
      </c>
      <c r="G204" s="13">
        <f t="shared" si="2"/>
        <v>0</v>
      </c>
      <c r="H204" s="13" t="str">
        <f>IF(B204&gt;=$T$2, A204, "")</f>
        <v/>
      </c>
      <c r="I204" s="14" t="e">
        <f t="shared" si="9"/>
        <v>#N/A</v>
      </c>
      <c r="J204" s="14">
        <v>0.5</v>
      </c>
      <c r="K204" s="14" t="e">
        <f t="shared" si="10"/>
        <v>#N/A</v>
      </c>
      <c r="L204" s="14">
        <v>0.4</v>
      </c>
      <c r="N204" s="4"/>
      <c r="O204" s="4"/>
      <c r="P204" s="5"/>
      <c r="Q204" s="1"/>
      <c r="R204" s="2"/>
      <c r="S204" s="2"/>
      <c r="T204" s="1"/>
      <c r="U204" s="2"/>
      <c r="V204" s="2"/>
      <c r="W204" s="2"/>
    </row>
    <row r="205" spans="1:23">
      <c r="A205" s="13">
        <v>20.3</v>
      </c>
      <c r="B205" s="13">
        <f t="shared" si="0"/>
        <v>0</v>
      </c>
      <c r="C205" s="13" t="str">
        <f>IF(B205&gt;=$S$2, A205, "")</f>
        <v/>
      </c>
      <c r="D205" s="13" t="str">
        <f>IF(AND(B205=1, B205&gt;=$S$2), A205, "")</f>
        <v/>
      </c>
      <c r="E205" s="13">
        <f>IF(B205&gt;=$S$2, B205, 0)</f>
        <v>0</v>
      </c>
      <c r="F205" s="13">
        <f t="shared" si="1"/>
        <v>0</v>
      </c>
      <c r="G205" s="13">
        <f t="shared" si="2"/>
        <v>0</v>
      </c>
      <c r="H205" s="13" t="str">
        <f>IF(B205&gt;=$T$2, A205, "")</f>
        <v/>
      </c>
      <c r="I205" s="14" t="e">
        <f t="shared" si="9"/>
        <v>#N/A</v>
      </c>
      <c r="J205" s="14">
        <v>0.5</v>
      </c>
      <c r="K205" s="14" t="e">
        <f t="shared" si="10"/>
        <v>#N/A</v>
      </c>
      <c r="L205" s="14">
        <v>0.4</v>
      </c>
      <c r="N205" s="4"/>
      <c r="O205" s="4"/>
      <c r="P205" s="5"/>
      <c r="Q205" s="1"/>
      <c r="R205" s="2"/>
      <c r="S205" s="2"/>
      <c r="T205" s="1"/>
      <c r="U205" s="2"/>
      <c r="V205" s="2"/>
      <c r="W205" s="2"/>
    </row>
    <row r="206" spans="1:23">
      <c r="A206" s="13">
        <v>20.399999999999999</v>
      </c>
      <c r="B206" s="13">
        <f t="shared" si="0"/>
        <v>0</v>
      </c>
      <c r="C206" s="13" t="str">
        <f>IF(B206&gt;=$S$2, A206, "")</f>
        <v/>
      </c>
      <c r="D206" s="13" t="str">
        <f>IF(AND(B206=1, B206&gt;=$S$2), A206, "")</f>
        <v/>
      </c>
      <c r="E206" s="13">
        <f>IF(B206&gt;=$S$2, B206, 0)</f>
        <v>0</v>
      </c>
      <c r="F206" s="13">
        <f t="shared" si="1"/>
        <v>0</v>
      </c>
      <c r="G206" s="13">
        <f t="shared" si="2"/>
        <v>0</v>
      </c>
      <c r="H206" s="13" t="str">
        <f>IF(B206&gt;=$T$2, A206, "")</f>
        <v/>
      </c>
      <c r="I206" s="14" t="e">
        <f t="shared" si="9"/>
        <v>#N/A</v>
      </c>
      <c r="J206" s="14">
        <v>0.5</v>
      </c>
      <c r="K206" s="14" t="e">
        <f t="shared" si="10"/>
        <v>#N/A</v>
      </c>
      <c r="L206" s="14">
        <v>0.4</v>
      </c>
      <c r="N206" s="4"/>
      <c r="O206" s="4"/>
      <c r="P206" s="5"/>
      <c r="Q206" s="1"/>
      <c r="R206" s="2"/>
      <c r="S206" s="2"/>
      <c r="T206" s="1"/>
      <c r="U206" s="2"/>
      <c r="V206" s="2"/>
      <c r="W206" s="2"/>
    </row>
    <row r="207" spans="1:23">
      <c r="A207" s="13">
        <v>20.5</v>
      </c>
      <c r="B207" s="13">
        <f t="shared" si="0"/>
        <v>0</v>
      </c>
      <c r="C207" s="13" t="str">
        <f>IF(B207&gt;=$S$2, A207, "")</f>
        <v/>
      </c>
      <c r="D207" s="13" t="str">
        <f>IF(AND(B207=1, B207&gt;=$S$2), A207, "")</f>
        <v/>
      </c>
      <c r="E207" s="13">
        <f>IF(B207&gt;=$S$2, B207, 0)</f>
        <v>0</v>
      </c>
      <c r="F207" s="13">
        <f t="shared" si="1"/>
        <v>0</v>
      </c>
      <c r="G207" s="13">
        <f t="shared" si="2"/>
        <v>0</v>
      </c>
      <c r="H207" s="13" t="str">
        <f>IF(B207&gt;=$T$2, A207, "")</f>
        <v/>
      </c>
      <c r="I207" s="14" t="e">
        <f t="shared" si="9"/>
        <v>#N/A</v>
      </c>
      <c r="J207" s="14">
        <v>0.5</v>
      </c>
      <c r="K207" s="14" t="e">
        <f t="shared" si="10"/>
        <v>#N/A</v>
      </c>
      <c r="L207" s="14">
        <v>0.4</v>
      </c>
      <c r="N207" s="4"/>
      <c r="O207" s="4"/>
      <c r="P207" s="5"/>
      <c r="Q207" s="1"/>
      <c r="R207" s="2"/>
      <c r="S207" s="2"/>
      <c r="T207" s="1"/>
      <c r="U207" s="2"/>
      <c r="V207" s="2"/>
      <c r="W207" s="2"/>
    </row>
    <row r="208" spans="1:23">
      <c r="A208" s="13">
        <v>20.6</v>
      </c>
      <c r="B208" s="13">
        <f t="shared" si="0"/>
        <v>0</v>
      </c>
      <c r="C208" s="13" t="str">
        <f>IF(B208&gt;=$S$2, A208, "")</f>
        <v/>
      </c>
      <c r="D208" s="13" t="str">
        <f>IF(AND(B208=1, B208&gt;=$S$2), A208, "")</f>
        <v/>
      </c>
      <c r="E208" s="13">
        <f>IF(B208&gt;=$S$2, B208, 0)</f>
        <v>0</v>
      </c>
      <c r="F208" s="13">
        <f t="shared" si="1"/>
        <v>0</v>
      </c>
      <c r="G208" s="13">
        <f t="shared" si="2"/>
        <v>0</v>
      </c>
      <c r="H208" s="13" t="str">
        <f>IF(B208&gt;=$T$2, A208, "")</f>
        <v/>
      </c>
      <c r="I208" s="14" t="e">
        <f t="shared" si="9"/>
        <v>#N/A</v>
      </c>
      <c r="J208" s="14">
        <v>0.5</v>
      </c>
      <c r="K208" s="14" t="e">
        <f t="shared" si="10"/>
        <v>#N/A</v>
      </c>
      <c r="L208" s="14">
        <v>0.4</v>
      </c>
      <c r="N208" s="4"/>
      <c r="O208" s="4"/>
      <c r="P208" s="5"/>
      <c r="Q208" s="1"/>
      <c r="R208" s="2"/>
      <c r="S208" s="2"/>
      <c r="T208" s="1"/>
      <c r="U208" s="2"/>
      <c r="V208" s="2"/>
      <c r="W208" s="2"/>
    </row>
    <row r="209" spans="1:23">
      <c r="A209" s="13">
        <v>20.7</v>
      </c>
      <c r="B209" s="13">
        <f t="shared" si="0"/>
        <v>0</v>
      </c>
      <c r="C209" s="13" t="str">
        <f>IF(B209&gt;=$S$2, A209, "")</f>
        <v/>
      </c>
      <c r="D209" s="13" t="str">
        <f>IF(AND(B209=1, B209&gt;=$S$2), A209, "")</f>
        <v/>
      </c>
      <c r="E209" s="13">
        <f>IF(B209&gt;=$S$2, B209, 0)</f>
        <v>0</v>
      </c>
      <c r="F209" s="13">
        <f t="shared" si="1"/>
        <v>0</v>
      </c>
      <c r="G209" s="13">
        <f t="shared" si="2"/>
        <v>0</v>
      </c>
      <c r="H209" s="13" t="str">
        <f>IF(B209&gt;=$T$2, A209, "")</f>
        <v/>
      </c>
      <c r="I209" s="14" t="e">
        <f t="shared" si="9"/>
        <v>#N/A</v>
      </c>
      <c r="J209" s="14">
        <v>0.5</v>
      </c>
      <c r="K209" s="14" t="e">
        <f t="shared" si="10"/>
        <v>#N/A</v>
      </c>
      <c r="L209" s="14">
        <v>0.4</v>
      </c>
      <c r="N209" s="4"/>
      <c r="O209" s="4"/>
      <c r="P209" s="5"/>
      <c r="Q209" s="1"/>
      <c r="R209" s="2"/>
      <c r="S209" s="2"/>
      <c r="T209" s="1"/>
      <c r="U209" s="2"/>
      <c r="V209" s="2"/>
      <c r="W209" s="2"/>
    </row>
    <row r="210" spans="1:23">
      <c r="A210" s="13">
        <v>20.8</v>
      </c>
      <c r="B210" s="13">
        <f t="shared" si="0"/>
        <v>0</v>
      </c>
      <c r="C210" s="13" t="str">
        <f>IF(B210&gt;=$S$2, A210, "")</f>
        <v/>
      </c>
      <c r="D210" s="13" t="str">
        <f>IF(AND(B210=1, B210&gt;=$S$2), A210, "")</f>
        <v/>
      </c>
      <c r="E210" s="13">
        <f>IF(B210&gt;=$S$2, B210, 0)</f>
        <v>0</v>
      </c>
      <c r="F210" s="13">
        <f t="shared" si="1"/>
        <v>0</v>
      </c>
      <c r="G210" s="13">
        <f t="shared" si="2"/>
        <v>0</v>
      </c>
      <c r="H210" s="13" t="str">
        <f>IF(B210&gt;=$T$2, A210, "")</f>
        <v/>
      </c>
      <c r="I210" s="14" t="e">
        <f t="shared" si="9"/>
        <v>#N/A</v>
      </c>
      <c r="J210" s="14">
        <v>0.5</v>
      </c>
      <c r="K210" s="14" t="e">
        <f t="shared" si="10"/>
        <v>#N/A</v>
      </c>
      <c r="L210" s="14">
        <v>0.4</v>
      </c>
      <c r="N210" s="4"/>
      <c r="O210" s="4"/>
      <c r="P210" s="5"/>
      <c r="Q210" s="1"/>
      <c r="R210" s="2"/>
      <c r="S210" s="2"/>
      <c r="T210" s="1"/>
      <c r="U210" s="2"/>
      <c r="V210" s="2"/>
      <c r="W210" s="2"/>
    </row>
    <row r="211" spans="1:23">
      <c r="A211" s="13">
        <v>20.9</v>
      </c>
      <c r="B211" s="13">
        <f t="shared" si="0"/>
        <v>0</v>
      </c>
      <c r="C211" s="13" t="str">
        <f>IF(B211&gt;=$S$2, A211, "")</f>
        <v/>
      </c>
      <c r="D211" s="13" t="str">
        <f>IF(AND(B211=1, B211&gt;=$S$2), A211, "")</f>
        <v/>
      </c>
      <c r="E211" s="13">
        <f>IF(B211&gt;=$S$2, B211, 0)</f>
        <v>0</v>
      </c>
      <c r="F211" s="13">
        <f t="shared" si="1"/>
        <v>0</v>
      </c>
      <c r="G211" s="13">
        <f t="shared" si="2"/>
        <v>0</v>
      </c>
      <c r="H211" s="13" t="str">
        <f>IF(B211&gt;=$T$2, A211, "")</f>
        <v/>
      </c>
      <c r="I211" s="14" t="e">
        <f t="shared" si="9"/>
        <v>#N/A</v>
      </c>
      <c r="J211" s="14">
        <v>0.5</v>
      </c>
      <c r="K211" s="14" t="e">
        <f t="shared" si="10"/>
        <v>#N/A</v>
      </c>
      <c r="L211" s="14">
        <v>0.4</v>
      </c>
      <c r="N211" s="4"/>
      <c r="O211" s="4"/>
      <c r="P211" s="5"/>
      <c r="Q211" s="1"/>
      <c r="R211" s="2"/>
      <c r="S211" s="2"/>
      <c r="T211" s="1"/>
      <c r="U211" s="2"/>
      <c r="V211" s="2"/>
      <c r="W211" s="2"/>
    </row>
    <row r="212" spans="1:23">
      <c r="A212" s="13">
        <v>21</v>
      </c>
      <c r="B212" s="13">
        <f t="shared" si="0"/>
        <v>0</v>
      </c>
      <c r="C212" s="13" t="str">
        <f>IF(B212&gt;=$S$2, A212, "")</f>
        <v/>
      </c>
      <c r="D212" s="13" t="str">
        <f>IF(AND(B212=1, B212&gt;=$S$2), A212, "")</f>
        <v/>
      </c>
      <c r="E212" s="13">
        <f>IF(B212&gt;=$S$2, B212, 0)</f>
        <v>0</v>
      </c>
      <c r="F212" s="13">
        <f t="shared" si="1"/>
        <v>0</v>
      </c>
      <c r="G212" s="13">
        <f t="shared" si="2"/>
        <v>0</v>
      </c>
      <c r="H212" s="13" t="str">
        <f>IF(B212&gt;=$T$2, A212, "")</f>
        <v/>
      </c>
      <c r="I212" s="14" t="e">
        <f t="shared" si="9"/>
        <v>#N/A</v>
      </c>
      <c r="J212" s="14">
        <v>0.5</v>
      </c>
      <c r="K212" s="14" t="e">
        <f t="shared" si="10"/>
        <v>#N/A</v>
      </c>
      <c r="L212" s="14">
        <v>0.4</v>
      </c>
      <c r="N212" s="4"/>
      <c r="O212" s="4"/>
      <c r="P212" s="5"/>
      <c r="Q212" s="1"/>
      <c r="R212" s="2"/>
      <c r="S212" s="2"/>
      <c r="T212" s="1"/>
      <c r="U212" s="2"/>
      <c r="V212" s="2"/>
      <c r="W212" s="2"/>
    </row>
    <row r="213" spans="1:23">
      <c r="A213" s="13">
        <v>21.1</v>
      </c>
      <c r="B213" s="13">
        <f t="shared" si="0"/>
        <v>0</v>
      </c>
      <c r="C213" s="13" t="str">
        <f>IF(B213&gt;=$S$2, A213, "")</f>
        <v/>
      </c>
      <c r="D213" s="13" t="str">
        <f>IF(AND(B213=1, B213&gt;=$S$2), A213, "")</f>
        <v/>
      </c>
      <c r="E213" s="13">
        <f>IF(B213&gt;=$S$2, B213, 0)</f>
        <v>0</v>
      </c>
      <c r="F213" s="13">
        <f t="shared" si="1"/>
        <v>0</v>
      </c>
      <c r="G213" s="13">
        <f t="shared" si="2"/>
        <v>0</v>
      </c>
      <c r="H213" s="13" t="str">
        <f>IF(B213&gt;=$T$2, A213, "")</f>
        <v/>
      </c>
      <c r="I213" s="14" t="e">
        <f t="shared" si="9"/>
        <v>#N/A</v>
      </c>
      <c r="J213" s="14">
        <v>0.5</v>
      </c>
      <c r="K213" s="14" t="e">
        <f t="shared" si="10"/>
        <v>#N/A</v>
      </c>
      <c r="L213" s="14">
        <v>0.4</v>
      </c>
      <c r="N213" s="4"/>
      <c r="O213" s="4"/>
      <c r="P213" s="5"/>
      <c r="Q213" s="1"/>
      <c r="R213" s="2"/>
      <c r="S213" s="2"/>
      <c r="T213" s="1"/>
      <c r="U213" s="2"/>
      <c r="V213" s="2"/>
      <c r="W213" s="2"/>
    </row>
    <row r="214" spans="1:23">
      <c r="A214" s="13">
        <v>21.2</v>
      </c>
      <c r="B214" s="13">
        <f t="shared" si="0"/>
        <v>0</v>
      </c>
      <c r="C214" s="13" t="str">
        <f>IF(B214&gt;=$S$2, A214, "")</f>
        <v/>
      </c>
      <c r="D214" s="13" t="str">
        <f>IF(AND(B214=1, B214&gt;=$S$2), A214, "")</f>
        <v/>
      </c>
      <c r="E214" s="13">
        <f>IF(B214&gt;=$S$2, B214, 0)</f>
        <v>0</v>
      </c>
      <c r="F214" s="13">
        <f t="shared" si="1"/>
        <v>0</v>
      </c>
      <c r="G214" s="13">
        <f t="shared" si="2"/>
        <v>0</v>
      </c>
      <c r="H214" s="13" t="str">
        <f>IF(B214&gt;=$T$2, A214, "")</f>
        <v/>
      </c>
      <c r="I214" s="14" t="e">
        <f t="shared" si="9"/>
        <v>#N/A</v>
      </c>
      <c r="J214" s="14">
        <v>0.5</v>
      </c>
      <c r="K214" s="14" t="e">
        <f t="shared" si="10"/>
        <v>#N/A</v>
      </c>
      <c r="L214" s="14">
        <v>0.4</v>
      </c>
      <c r="N214" s="4"/>
      <c r="O214" s="4"/>
      <c r="P214" s="5"/>
      <c r="Q214" s="1"/>
      <c r="R214" s="2"/>
      <c r="S214" s="2"/>
      <c r="T214" s="1"/>
      <c r="U214" s="2"/>
      <c r="V214" s="2"/>
      <c r="W214" s="2"/>
    </row>
    <row r="215" spans="1:23">
      <c r="A215" s="13">
        <v>21.3</v>
      </c>
      <c r="B215" s="13">
        <f t="shared" si="0"/>
        <v>0</v>
      </c>
      <c r="C215" s="13" t="str">
        <f>IF(B215&gt;=$S$2, A215, "")</f>
        <v/>
      </c>
      <c r="D215" s="13" t="str">
        <f>IF(AND(B215=1, B215&gt;=$S$2), A215, "")</f>
        <v/>
      </c>
      <c r="E215" s="13">
        <f>IF(B215&gt;=$S$2, B215, 0)</f>
        <v>0</v>
      </c>
      <c r="F215" s="13">
        <f t="shared" si="1"/>
        <v>0</v>
      </c>
      <c r="G215" s="13">
        <f t="shared" si="2"/>
        <v>0</v>
      </c>
      <c r="H215" s="13" t="str">
        <f>IF(B215&gt;=$T$2, A215, "")</f>
        <v/>
      </c>
      <c r="I215" s="14" t="e">
        <f t="shared" si="9"/>
        <v>#N/A</v>
      </c>
      <c r="J215" s="14">
        <v>0.5</v>
      </c>
      <c r="K215" s="14" t="e">
        <f t="shared" si="10"/>
        <v>#N/A</v>
      </c>
      <c r="L215" s="14">
        <v>0.4</v>
      </c>
      <c r="N215" s="4"/>
      <c r="O215" s="4"/>
      <c r="P215" s="5"/>
      <c r="Q215" s="1"/>
      <c r="R215" s="2"/>
      <c r="S215" s="2"/>
      <c r="T215" s="1"/>
      <c r="U215" s="2"/>
      <c r="V215" s="2"/>
      <c r="W215" s="2"/>
    </row>
    <row r="216" spans="1:23">
      <c r="A216" s="13">
        <v>21.4</v>
      </c>
      <c r="B216" s="13">
        <f t="shared" si="0"/>
        <v>0</v>
      </c>
      <c r="C216" s="13" t="str">
        <f>IF(B216&gt;=$S$2, A216, "")</f>
        <v/>
      </c>
      <c r="D216" s="13" t="str">
        <f>IF(AND(B216=1, B216&gt;=$S$2), A216, "")</f>
        <v/>
      </c>
      <c r="E216" s="13">
        <f>IF(B216&gt;=$S$2, B216, 0)</f>
        <v>0</v>
      </c>
      <c r="F216" s="13">
        <f t="shared" si="1"/>
        <v>0</v>
      </c>
      <c r="G216" s="13">
        <f t="shared" si="2"/>
        <v>0</v>
      </c>
      <c r="H216" s="13" t="str">
        <f>IF(B216&gt;=$T$2, A216, "")</f>
        <v/>
      </c>
      <c r="I216" s="14" t="e">
        <f t="shared" si="9"/>
        <v>#N/A</v>
      </c>
      <c r="J216" s="14">
        <v>0.5</v>
      </c>
      <c r="K216" s="14" t="e">
        <f t="shared" si="10"/>
        <v>#N/A</v>
      </c>
      <c r="L216" s="14">
        <v>0.4</v>
      </c>
      <c r="N216" s="4"/>
      <c r="O216" s="4"/>
      <c r="P216" s="5"/>
      <c r="Q216" s="1"/>
      <c r="R216" s="2"/>
      <c r="S216" s="2"/>
      <c r="T216" s="1"/>
      <c r="U216" s="2"/>
      <c r="V216" s="2"/>
      <c r="W216" s="2"/>
    </row>
    <row r="217" spans="1:23">
      <c r="A217" s="13">
        <v>21.5</v>
      </c>
      <c r="B217" s="13">
        <f t="shared" si="0"/>
        <v>0</v>
      </c>
      <c r="C217" s="13" t="str">
        <f>IF(B217&gt;=$S$2, A217, "")</f>
        <v/>
      </c>
      <c r="D217" s="13" t="str">
        <f>IF(AND(B217=1, B217&gt;=$S$2), A217, "")</f>
        <v/>
      </c>
      <c r="E217" s="13">
        <f>IF(B217&gt;=$S$2, B217, 0)</f>
        <v>0</v>
      </c>
      <c r="F217" s="13">
        <f t="shared" si="1"/>
        <v>0</v>
      </c>
      <c r="G217" s="13">
        <f t="shared" si="2"/>
        <v>0</v>
      </c>
      <c r="H217" s="13" t="str">
        <f>IF(B217&gt;=$T$2, A217, "")</f>
        <v/>
      </c>
      <c r="I217" s="14" t="e">
        <f t="shared" si="9"/>
        <v>#N/A</v>
      </c>
      <c r="J217" s="14">
        <v>0.5</v>
      </c>
      <c r="K217" s="14" t="e">
        <f t="shared" si="10"/>
        <v>#N/A</v>
      </c>
      <c r="L217" s="14">
        <v>0.4</v>
      </c>
      <c r="N217" s="4"/>
      <c r="O217" s="4"/>
      <c r="P217" s="5"/>
      <c r="Q217" s="1"/>
      <c r="R217" s="2"/>
      <c r="S217" s="2"/>
      <c r="T217" s="1"/>
      <c r="U217" s="2"/>
      <c r="V217" s="2"/>
      <c r="W217" s="2"/>
    </row>
    <row r="218" spans="1:23">
      <c r="A218" s="13">
        <v>21.6</v>
      </c>
      <c r="B218" s="13">
        <f t="shared" si="0"/>
        <v>0</v>
      </c>
      <c r="C218" s="13" t="str">
        <f>IF(B218&gt;=$S$2, A218, "")</f>
        <v/>
      </c>
      <c r="D218" s="13" t="str">
        <f>IF(AND(B218=1, B218&gt;=$S$2), A218, "")</f>
        <v/>
      </c>
      <c r="E218" s="13">
        <f>IF(B218&gt;=$S$2, B218, 0)</f>
        <v>0</v>
      </c>
      <c r="F218" s="13">
        <f t="shared" si="1"/>
        <v>0</v>
      </c>
      <c r="G218" s="13">
        <f t="shared" si="2"/>
        <v>0</v>
      </c>
      <c r="H218" s="13" t="str">
        <f>IF(B218&gt;=$T$2, A218, "")</f>
        <v/>
      </c>
      <c r="I218" s="14" t="e">
        <f t="shared" si="9"/>
        <v>#N/A</v>
      </c>
      <c r="J218" s="14">
        <v>0.5</v>
      </c>
      <c r="K218" s="14" t="e">
        <f t="shared" si="10"/>
        <v>#N/A</v>
      </c>
      <c r="L218" s="14">
        <v>0.4</v>
      </c>
      <c r="N218" s="4"/>
      <c r="O218" s="4"/>
      <c r="P218" s="5"/>
      <c r="Q218" s="1"/>
      <c r="R218" s="2"/>
      <c r="S218" s="2"/>
      <c r="T218" s="1"/>
      <c r="U218" s="2"/>
      <c r="V218" s="2"/>
      <c r="W218" s="2"/>
    </row>
    <row r="219" spans="1:23">
      <c r="A219" s="13">
        <v>21.7</v>
      </c>
      <c r="B219" s="13">
        <f t="shared" si="0"/>
        <v>0</v>
      </c>
      <c r="C219" s="13" t="str">
        <f>IF(B219&gt;=$S$2, A219, "")</f>
        <v/>
      </c>
      <c r="D219" s="13" t="str">
        <f>IF(AND(B219=1, B219&gt;=$S$2), A219, "")</f>
        <v/>
      </c>
      <c r="E219" s="13">
        <f>IF(B219&gt;=$S$2, B219, 0)</f>
        <v>0</v>
      </c>
      <c r="F219" s="13">
        <f t="shared" si="1"/>
        <v>0</v>
      </c>
      <c r="G219" s="13">
        <f t="shared" si="2"/>
        <v>0</v>
      </c>
      <c r="H219" s="13" t="str">
        <f>IF(B219&gt;=$T$2, A219, "")</f>
        <v/>
      </c>
      <c r="I219" s="14" t="e">
        <f t="shared" si="9"/>
        <v>#N/A</v>
      </c>
      <c r="J219" s="14">
        <v>0.5</v>
      </c>
      <c r="K219" s="14" t="e">
        <f t="shared" si="10"/>
        <v>#N/A</v>
      </c>
      <c r="L219" s="14">
        <v>0.4</v>
      </c>
      <c r="N219" s="4"/>
      <c r="O219" s="4"/>
      <c r="P219" s="5"/>
      <c r="Q219" s="1"/>
      <c r="R219" s="2"/>
      <c r="S219" s="2"/>
      <c r="T219" s="1"/>
      <c r="U219" s="2"/>
      <c r="V219" s="2"/>
      <c r="W219" s="2"/>
    </row>
    <row r="220" spans="1:23">
      <c r="A220" s="13">
        <v>21.8</v>
      </c>
      <c r="B220" s="13">
        <f t="shared" si="0"/>
        <v>0</v>
      </c>
      <c r="C220" s="13" t="str">
        <f>IF(B220&gt;=$S$2, A220, "")</f>
        <v/>
      </c>
      <c r="D220" s="13" t="str">
        <f>IF(AND(B220=1, B220&gt;=$S$2), A220, "")</f>
        <v/>
      </c>
      <c r="E220" s="13">
        <f>IF(B220&gt;=$S$2, B220, 0)</f>
        <v>0</v>
      </c>
      <c r="F220" s="13">
        <f t="shared" si="1"/>
        <v>0</v>
      </c>
      <c r="G220" s="13">
        <f t="shared" si="2"/>
        <v>0</v>
      </c>
      <c r="H220" s="13" t="str">
        <f>IF(B220&gt;=$T$2, A220, "")</f>
        <v/>
      </c>
      <c r="I220" s="14" t="e">
        <f t="shared" si="9"/>
        <v>#N/A</v>
      </c>
      <c r="J220" s="14">
        <v>0.5</v>
      </c>
      <c r="K220" s="14" t="e">
        <f t="shared" si="10"/>
        <v>#N/A</v>
      </c>
      <c r="L220" s="14">
        <v>0.4</v>
      </c>
      <c r="N220" s="4"/>
      <c r="O220" s="4"/>
      <c r="P220" s="5"/>
      <c r="Q220" s="1"/>
      <c r="R220" s="2"/>
      <c r="S220" s="2"/>
      <c r="T220" s="1"/>
      <c r="U220" s="2"/>
      <c r="V220" s="2"/>
      <c r="W220" s="2"/>
    </row>
    <row r="221" spans="1:23">
      <c r="A221" s="13">
        <v>21.9</v>
      </c>
      <c r="B221" s="13">
        <f t="shared" si="0"/>
        <v>0</v>
      </c>
      <c r="C221" s="13" t="str">
        <f>IF(B221&gt;=$S$2, A221, "")</f>
        <v/>
      </c>
      <c r="D221" s="13" t="str">
        <f>IF(AND(B221=1, B221&gt;=$S$2), A221, "")</f>
        <v/>
      </c>
      <c r="E221" s="13">
        <f>IF(B221&gt;=$S$2, B221, 0)</f>
        <v>0</v>
      </c>
      <c r="F221" s="13">
        <f t="shared" si="1"/>
        <v>0</v>
      </c>
      <c r="G221" s="13">
        <f t="shared" si="2"/>
        <v>0</v>
      </c>
      <c r="H221" s="13" t="str">
        <f>IF(B221&gt;=$T$2, A221, "")</f>
        <v/>
      </c>
      <c r="I221" s="14" t="e">
        <f t="shared" si="9"/>
        <v>#N/A</v>
      </c>
      <c r="J221" s="14">
        <v>0.5</v>
      </c>
      <c r="K221" s="14" t="e">
        <f t="shared" si="10"/>
        <v>#N/A</v>
      </c>
      <c r="L221" s="14">
        <v>0.4</v>
      </c>
      <c r="N221" s="4"/>
      <c r="O221" s="4"/>
      <c r="P221" s="5"/>
      <c r="Q221" s="1"/>
      <c r="R221" s="2"/>
      <c r="S221" s="2"/>
      <c r="T221" s="1"/>
      <c r="U221" s="2"/>
      <c r="V221" s="2"/>
      <c r="W221" s="2"/>
    </row>
    <row r="222" spans="1:23">
      <c r="A222" s="13">
        <v>22</v>
      </c>
      <c r="B222" s="13">
        <f t="shared" si="0"/>
        <v>0</v>
      </c>
      <c r="C222" s="13" t="str">
        <f>IF(B222&gt;=$S$2, A222, "")</f>
        <v/>
      </c>
      <c r="D222" s="13" t="str">
        <f>IF(AND(B222=1, B222&gt;=$S$2), A222, "")</f>
        <v/>
      </c>
      <c r="E222" s="13">
        <f>IF(B222&gt;=$S$2, B222, 0)</f>
        <v>0</v>
      </c>
      <c r="F222" s="13">
        <f t="shared" si="1"/>
        <v>0</v>
      </c>
      <c r="G222" s="13">
        <f t="shared" si="2"/>
        <v>0</v>
      </c>
      <c r="H222" s="13" t="str">
        <f>IF(B222&gt;=$T$2, A222, "")</f>
        <v/>
      </c>
      <c r="I222" s="14" t="e">
        <f t="shared" si="9"/>
        <v>#N/A</v>
      </c>
      <c r="J222" s="14">
        <v>0.5</v>
      </c>
      <c r="K222" s="14" t="e">
        <f t="shared" si="10"/>
        <v>#N/A</v>
      </c>
      <c r="L222" s="14">
        <v>0.4</v>
      </c>
      <c r="N222" s="4"/>
      <c r="O222" s="4"/>
      <c r="P222" s="5"/>
      <c r="Q222" s="1"/>
      <c r="R222" s="2"/>
      <c r="S222" s="2"/>
      <c r="T222" s="1"/>
      <c r="U222" s="2"/>
      <c r="V222" s="2"/>
      <c r="W222" s="2"/>
    </row>
    <row r="223" spans="1:23">
      <c r="A223" s="13">
        <v>22.1</v>
      </c>
      <c r="B223" s="13">
        <f t="shared" si="0"/>
        <v>0</v>
      </c>
      <c r="C223" s="13" t="str">
        <f>IF(B223&gt;=$S$2, A223, "")</f>
        <v/>
      </c>
      <c r="D223" s="13" t="str">
        <f>IF(AND(B223=1, B223&gt;=$S$2), A223, "")</f>
        <v/>
      </c>
      <c r="E223" s="13">
        <f>IF(B223&gt;=$S$2, B223, 0)</f>
        <v>0</v>
      </c>
      <c r="F223" s="13">
        <f t="shared" si="1"/>
        <v>0</v>
      </c>
      <c r="G223" s="13">
        <f t="shared" si="2"/>
        <v>0</v>
      </c>
      <c r="H223" s="13" t="str">
        <f>IF(B223&gt;=$T$2, A223, "")</f>
        <v/>
      </c>
      <c r="I223" s="14" t="e">
        <f t="shared" si="9"/>
        <v>#N/A</v>
      </c>
      <c r="J223" s="14">
        <v>0.5</v>
      </c>
      <c r="K223" s="14" t="e">
        <f t="shared" si="10"/>
        <v>#N/A</v>
      </c>
      <c r="L223" s="14">
        <v>0.4</v>
      </c>
      <c r="N223" s="4"/>
      <c r="O223" s="4"/>
      <c r="P223" s="5"/>
      <c r="Q223" s="1"/>
      <c r="R223" s="2"/>
      <c r="S223" s="2"/>
      <c r="T223" s="1"/>
      <c r="U223" s="2"/>
      <c r="V223" s="2"/>
      <c r="W223" s="2"/>
    </row>
    <row r="224" spans="1:23">
      <c r="A224" s="13">
        <v>22.2</v>
      </c>
      <c r="B224" s="13">
        <f t="shared" si="0"/>
        <v>0</v>
      </c>
      <c r="C224" s="13" t="str">
        <f>IF(B224&gt;=$S$2, A224, "")</f>
        <v/>
      </c>
      <c r="D224" s="13" t="str">
        <f>IF(AND(B224=1, B224&gt;=$S$2), A224, "")</f>
        <v/>
      </c>
      <c r="E224" s="13">
        <f>IF(B224&gt;=$S$2, B224, 0)</f>
        <v>0</v>
      </c>
      <c r="F224" s="13">
        <f t="shared" si="1"/>
        <v>0</v>
      </c>
      <c r="G224" s="13">
        <f t="shared" si="2"/>
        <v>0</v>
      </c>
      <c r="H224" s="13" t="str">
        <f>IF(B224&gt;=$T$2, A224, "")</f>
        <v/>
      </c>
      <c r="I224" s="14" t="e">
        <f t="shared" si="9"/>
        <v>#N/A</v>
      </c>
      <c r="J224" s="14">
        <v>0.5</v>
      </c>
      <c r="K224" s="14" t="e">
        <f t="shared" si="10"/>
        <v>#N/A</v>
      </c>
      <c r="L224" s="14">
        <v>0.4</v>
      </c>
      <c r="N224" s="4"/>
      <c r="O224" s="4"/>
      <c r="P224" s="5"/>
      <c r="Q224" s="1"/>
      <c r="R224" s="2"/>
      <c r="S224" s="2"/>
      <c r="T224" s="1"/>
      <c r="U224" s="2"/>
      <c r="V224" s="2"/>
      <c r="W224" s="2"/>
    </row>
    <row r="225" spans="1:23">
      <c r="A225" s="13">
        <v>22.3</v>
      </c>
      <c r="B225" s="13">
        <f t="shared" si="0"/>
        <v>0</v>
      </c>
      <c r="C225" s="13" t="str">
        <f>IF(B225&gt;=$S$2, A225, "")</f>
        <v/>
      </c>
      <c r="D225" s="13" t="str">
        <f>IF(AND(B225=1, B225&gt;=$S$2), A225, "")</f>
        <v/>
      </c>
      <c r="E225" s="13">
        <f>IF(B225&gt;=$S$2, B225, 0)</f>
        <v>0</v>
      </c>
      <c r="F225" s="13">
        <f t="shared" si="1"/>
        <v>0</v>
      </c>
      <c r="G225" s="13">
        <f t="shared" si="2"/>
        <v>0</v>
      </c>
      <c r="H225" s="13" t="str">
        <f>IF(B225&gt;=$T$2, A225, "")</f>
        <v/>
      </c>
      <c r="I225" s="14" t="e">
        <f t="shared" si="9"/>
        <v>#N/A</v>
      </c>
      <c r="J225" s="14">
        <v>0.5</v>
      </c>
      <c r="K225" s="14" t="e">
        <f t="shared" si="10"/>
        <v>#N/A</v>
      </c>
      <c r="L225" s="14">
        <v>0.4</v>
      </c>
      <c r="N225" s="4"/>
      <c r="O225" s="4"/>
      <c r="P225" s="5"/>
      <c r="Q225" s="1"/>
      <c r="R225" s="2"/>
      <c r="S225" s="2"/>
      <c r="T225" s="1"/>
      <c r="U225" s="2"/>
      <c r="V225" s="2"/>
      <c r="W225" s="2"/>
    </row>
    <row r="226" spans="1:23">
      <c r="A226" s="13">
        <v>22.4</v>
      </c>
      <c r="B226" s="13">
        <f t="shared" si="0"/>
        <v>0</v>
      </c>
      <c r="C226" s="13" t="str">
        <f>IF(B226&gt;=$S$2, A226, "")</f>
        <v/>
      </c>
      <c r="D226" s="13" t="str">
        <f>IF(AND(B226=1, B226&gt;=$S$2), A226, "")</f>
        <v/>
      </c>
      <c r="E226" s="13">
        <f>IF(B226&gt;=$S$2, B226, 0)</f>
        <v>0</v>
      </c>
      <c r="F226" s="13">
        <f t="shared" si="1"/>
        <v>0</v>
      </c>
      <c r="G226" s="13">
        <f t="shared" si="2"/>
        <v>0</v>
      </c>
      <c r="H226" s="13" t="str">
        <f>IF(B226&gt;=$T$2, A226, "")</f>
        <v/>
      </c>
      <c r="I226" s="14" t="e">
        <f t="shared" si="9"/>
        <v>#N/A</v>
      </c>
      <c r="J226" s="14">
        <v>0.5</v>
      </c>
      <c r="K226" s="14" t="e">
        <f t="shared" si="10"/>
        <v>#N/A</v>
      </c>
      <c r="L226" s="14">
        <v>0.4</v>
      </c>
      <c r="N226" s="4"/>
      <c r="O226" s="4"/>
      <c r="P226" s="5"/>
      <c r="Q226" s="1"/>
      <c r="R226" s="2"/>
      <c r="S226" s="2"/>
      <c r="T226" s="1"/>
      <c r="U226" s="2"/>
      <c r="V226" s="2"/>
      <c r="W226" s="2"/>
    </row>
    <row r="227" spans="1:23">
      <c r="A227" s="13">
        <v>22.5</v>
      </c>
      <c r="B227" s="13">
        <f t="shared" si="0"/>
        <v>0</v>
      </c>
      <c r="C227" s="13" t="str">
        <f>IF(B227&gt;=$S$2, A227, "")</f>
        <v/>
      </c>
      <c r="D227" s="13" t="str">
        <f>IF(AND(B227=1, B227&gt;=$S$2), A227, "")</f>
        <v/>
      </c>
      <c r="E227" s="13">
        <f>IF(B227&gt;=$S$2, B227, 0)</f>
        <v>0</v>
      </c>
      <c r="F227" s="13">
        <f t="shared" si="1"/>
        <v>0</v>
      </c>
      <c r="G227" s="13">
        <f t="shared" si="2"/>
        <v>0</v>
      </c>
      <c r="H227" s="13" t="str">
        <f>IF(B227&gt;=$T$2, A227, "")</f>
        <v/>
      </c>
      <c r="I227" s="14" t="e">
        <f t="shared" si="9"/>
        <v>#N/A</v>
      </c>
      <c r="J227" s="14">
        <v>0.5</v>
      </c>
      <c r="K227" s="14" t="e">
        <f t="shared" si="10"/>
        <v>#N/A</v>
      </c>
      <c r="L227" s="14">
        <v>0.4</v>
      </c>
      <c r="N227" s="4"/>
      <c r="O227" s="4"/>
      <c r="P227" s="5"/>
      <c r="Q227" s="1"/>
      <c r="R227" s="2"/>
      <c r="S227" s="2"/>
      <c r="T227" s="1"/>
      <c r="U227" s="2"/>
      <c r="V227" s="2"/>
      <c r="W227" s="2"/>
    </row>
    <row r="228" spans="1:23">
      <c r="A228" s="13">
        <v>22.6</v>
      </c>
      <c r="B228" s="13">
        <f t="shared" si="0"/>
        <v>0</v>
      </c>
      <c r="C228" s="13" t="str">
        <f>IF(B228&gt;=$S$2, A228, "")</f>
        <v/>
      </c>
      <c r="D228" s="13" t="str">
        <f>IF(AND(B228=1, B228&gt;=$S$2), A228, "")</f>
        <v/>
      </c>
      <c r="E228" s="13">
        <f>IF(B228&gt;=$S$2, B228, 0)</f>
        <v>0</v>
      </c>
      <c r="F228" s="13">
        <f t="shared" si="1"/>
        <v>0</v>
      </c>
      <c r="G228" s="13">
        <f t="shared" si="2"/>
        <v>0</v>
      </c>
      <c r="H228" s="13" t="str">
        <f>IF(B228&gt;=$T$2, A228, "")</f>
        <v/>
      </c>
      <c r="I228" s="14" t="e">
        <f t="shared" si="9"/>
        <v>#N/A</v>
      </c>
      <c r="J228" s="14">
        <v>0.5</v>
      </c>
      <c r="K228" s="14" t="e">
        <f t="shared" si="10"/>
        <v>#N/A</v>
      </c>
      <c r="L228" s="14">
        <v>0.4</v>
      </c>
      <c r="N228" s="4"/>
      <c r="O228" s="4"/>
      <c r="P228" s="5"/>
      <c r="Q228" s="1"/>
      <c r="R228" s="2"/>
      <c r="S228" s="2"/>
      <c r="T228" s="1"/>
      <c r="U228" s="2"/>
      <c r="V228" s="2"/>
      <c r="W228" s="2"/>
    </row>
    <row r="229" spans="1:23">
      <c r="A229" s="13">
        <v>22.7</v>
      </c>
      <c r="B229" s="13">
        <f t="shared" si="0"/>
        <v>0</v>
      </c>
      <c r="C229" s="13" t="str">
        <f>IF(B229&gt;=$S$2, A229, "")</f>
        <v/>
      </c>
      <c r="D229" s="13" t="str">
        <f>IF(AND(B229=1, B229&gt;=$S$2), A229, "")</f>
        <v/>
      </c>
      <c r="E229" s="13">
        <f>IF(B229&gt;=$S$2, B229, 0)</f>
        <v>0</v>
      </c>
      <c r="F229" s="13">
        <f t="shared" si="1"/>
        <v>0</v>
      </c>
      <c r="G229" s="13">
        <f t="shared" si="2"/>
        <v>0</v>
      </c>
      <c r="H229" s="13" t="str">
        <f>IF(B229&gt;=$T$2, A229, "")</f>
        <v/>
      </c>
      <c r="I229" s="14" t="e">
        <f t="shared" si="9"/>
        <v>#N/A</v>
      </c>
      <c r="J229" s="14">
        <v>0.5</v>
      </c>
      <c r="K229" s="14" t="e">
        <f t="shared" si="10"/>
        <v>#N/A</v>
      </c>
      <c r="L229" s="14">
        <v>0.4</v>
      </c>
      <c r="N229" s="4"/>
      <c r="O229" s="4"/>
      <c r="P229" s="5"/>
      <c r="Q229" s="1"/>
      <c r="R229" s="2"/>
      <c r="S229" s="2"/>
      <c r="T229" s="1"/>
      <c r="U229" s="2"/>
      <c r="V229" s="2"/>
      <c r="W229" s="2"/>
    </row>
    <row r="230" spans="1:23">
      <c r="A230" s="13">
        <v>22.8</v>
      </c>
      <c r="B230" s="13">
        <f t="shared" si="0"/>
        <v>0</v>
      </c>
      <c r="C230" s="13" t="str">
        <f>IF(B230&gt;=$S$2, A230, "")</f>
        <v/>
      </c>
      <c r="D230" s="13" t="str">
        <f>IF(AND(B230=1, B230&gt;=$S$2), A230, "")</f>
        <v/>
      </c>
      <c r="E230" s="13">
        <f>IF(B230&gt;=$S$2, B230, 0)</f>
        <v>0</v>
      </c>
      <c r="F230" s="13">
        <f t="shared" si="1"/>
        <v>0</v>
      </c>
      <c r="G230" s="13">
        <f t="shared" si="2"/>
        <v>0</v>
      </c>
      <c r="H230" s="13" t="str">
        <f>IF(B230&gt;=$T$2, A230, "")</f>
        <v/>
      </c>
      <c r="I230" s="14" t="e">
        <f t="shared" si="9"/>
        <v>#N/A</v>
      </c>
      <c r="J230" s="14">
        <v>0.5</v>
      </c>
      <c r="K230" s="14" t="e">
        <f t="shared" si="10"/>
        <v>#N/A</v>
      </c>
      <c r="L230" s="14">
        <v>0.4</v>
      </c>
      <c r="N230" s="4"/>
      <c r="O230" s="4"/>
      <c r="P230" s="5"/>
      <c r="Q230" s="1"/>
      <c r="R230" s="2"/>
      <c r="S230" s="2"/>
      <c r="T230" s="1"/>
      <c r="U230" s="2"/>
      <c r="V230" s="2"/>
      <c r="W230" s="2"/>
    </row>
    <row r="231" spans="1:23">
      <c r="A231" s="13">
        <v>22.9</v>
      </c>
      <c r="B231" s="13">
        <f t="shared" si="0"/>
        <v>0</v>
      </c>
      <c r="C231" s="13" t="str">
        <f>IF(B231&gt;=$S$2, A231, "")</f>
        <v/>
      </c>
      <c r="D231" s="13" t="str">
        <f>IF(AND(B231=1, B231&gt;=$S$2), A231, "")</f>
        <v/>
      </c>
      <c r="E231" s="13">
        <f>IF(B231&gt;=$S$2, B231, 0)</f>
        <v>0</v>
      </c>
      <c r="F231" s="13">
        <f t="shared" si="1"/>
        <v>0</v>
      </c>
      <c r="G231" s="13">
        <f t="shared" si="2"/>
        <v>0</v>
      </c>
      <c r="H231" s="13" t="str">
        <f>IF(B231&gt;=$T$2, A231, "")</f>
        <v/>
      </c>
      <c r="I231" s="14" t="e">
        <f t="shared" si="9"/>
        <v>#N/A</v>
      </c>
      <c r="J231" s="14">
        <v>0.5</v>
      </c>
      <c r="K231" s="14" t="e">
        <f t="shared" si="10"/>
        <v>#N/A</v>
      </c>
      <c r="L231" s="14">
        <v>0.4</v>
      </c>
      <c r="N231" s="4"/>
      <c r="O231" s="4"/>
      <c r="P231" s="5"/>
      <c r="Q231" s="1"/>
      <c r="R231" s="2"/>
      <c r="S231" s="2"/>
      <c r="T231" s="1"/>
      <c r="U231" s="2"/>
      <c r="V231" s="2"/>
      <c r="W231" s="2"/>
    </row>
    <row r="232" spans="1:23">
      <c r="A232" s="13">
        <v>23</v>
      </c>
      <c r="B232" s="13">
        <f t="shared" si="0"/>
        <v>0</v>
      </c>
      <c r="C232" s="13" t="str">
        <f>IF(B232&gt;=$S$2, A232, "")</f>
        <v/>
      </c>
      <c r="D232" s="13" t="str">
        <f>IF(AND(B232=1, B232&gt;=$S$2), A232, "")</f>
        <v/>
      </c>
      <c r="E232" s="13">
        <f>IF(B232&gt;=$S$2, B232, 0)</f>
        <v>0</v>
      </c>
      <c r="F232" s="13">
        <f t="shared" si="1"/>
        <v>0</v>
      </c>
      <c r="G232" s="13">
        <f t="shared" si="2"/>
        <v>0</v>
      </c>
      <c r="H232" s="13" t="str">
        <f>IF(B232&gt;=$T$2, A232, "")</f>
        <v/>
      </c>
      <c r="I232" s="14" t="e">
        <f t="shared" si="9"/>
        <v>#N/A</v>
      </c>
      <c r="J232" s="14">
        <v>0.5</v>
      </c>
      <c r="K232" s="14" t="e">
        <f t="shared" si="10"/>
        <v>#N/A</v>
      </c>
      <c r="L232" s="14">
        <v>0.4</v>
      </c>
      <c r="N232" s="4"/>
      <c r="O232" s="4"/>
      <c r="P232" s="5"/>
      <c r="Q232" s="1"/>
      <c r="R232" s="2"/>
      <c r="S232" s="2"/>
      <c r="T232" s="1"/>
      <c r="U232" s="2"/>
      <c r="V232" s="2"/>
      <c r="W232" s="2"/>
    </row>
    <row r="233" spans="1:23">
      <c r="A233" s="13">
        <v>23.1</v>
      </c>
      <c r="B233" s="13">
        <f t="shared" si="0"/>
        <v>0</v>
      </c>
      <c r="C233" s="13" t="str">
        <f>IF(B233&gt;=$S$2, A233, "")</f>
        <v/>
      </c>
      <c r="D233" s="13" t="str">
        <f>IF(AND(B233=1, B233&gt;=$S$2), A233, "")</f>
        <v/>
      </c>
      <c r="E233" s="13">
        <f>IF(B233&gt;=$S$2, B233, 0)</f>
        <v>0</v>
      </c>
      <c r="F233" s="13">
        <f t="shared" si="1"/>
        <v>0</v>
      </c>
      <c r="G233" s="13">
        <f t="shared" si="2"/>
        <v>0</v>
      </c>
      <c r="H233" s="13" t="str">
        <f>IF(B233&gt;=$T$2, A233, "")</f>
        <v/>
      </c>
      <c r="I233" s="14" t="e">
        <f t="shared" si="9"/>
        <v>#N/A</v>
      </c>
      <c r="J233" s="14">
        <v>0.5</v>
      </c>
      <c r="K233" s="14" t="e">
        <f t="shared" si="10"/>
        <v>#N/A</v>
      </c>
      <c r="L233" s="14">
        <v>0.4</v>
      </c>
      <c r="N233" s="4"/>
      <c r="O233" s="4"/>
      <c r="P233" s="5"/>
      <c r="Q233" s="1"/>
      <c r="R233" s="2"/>
      <c r="S233" s="2"/>
      <c r="T233" s="1"/>
      <c r="U233" s="2"/>
      <c r="V233" s="2"/>
      <c r="W233" s="2"/>
    </row>
    <row r="234" spans="1:23">
      <c r="A234" s="13">
        <v>23.2</v>
      </c>
      <c r="B234" s="13">
        <f t="shared" si="0"/>
        <v>0</v>
      </c>
      <c r="C234" s="13" t="str">
        <f>IF(B234&gt;=$S$2, A234, "")</f>
        <v/>
      </c>
      <c r="D234" s="13" t="str">
        <f>IF(AND(B234=1, B234&gt;=$S$2), A234, "")</f>
        <v/>
      </c>
      <c r="E234" s="13">
        <f>IF(B234&gt;=$S$2, B234, 0)</f>
        <v>0</v>
      </c>
      <c r="F234" s="13">
        <f t="shared" si="1"/>
        <v>0</v>
      </c>
      <c r="G234" s="13">
        <f t="shared" si="2"/>
        <v>0</v>
      </c>
      <c r="H234" s="13" t="str">
        <f>IF(B234&gt;=$T$2, A234, "")</f>
        <v/>
      </c>
      <c r="I234" s="14" t="e">
        <f t="shared" si="9"/>
        <v>#N/A</v>
      </c>
      <c r="J234" s="14">
        <v>0.5</v>
      </c>
      <c r="K234" s="14" t="e">
        <f t="shared" si="10"/>
        <v>#N/A</v>
      </c>
      <c r="L234" s="14">
        <v>0.4</v>
      </c>
      <c r="N234" s="4"/>
      <c r="O234" s="4"/>
      <c r="P234" s="5"/>
      <c r="Q234" s="1"/>
      <c r="R234" s="2"/>
      <c r="S234" s="2"/>
      <c r="T234" s="1"/>
      <c r="U234" s="2"/>
      <c r="V234" s="2"/>
      <c r="W234" s="2"/>
    </row>
    <row r="235" spans="1:23">
      <c r="A235" s="13">
        <v>23.3</v>
      </c>
      <c r="B235" s="13">
        <f t="shared" si="0"/>
        <v>0</v>
      </c>
      <c r="C235" s="13" t="str">
        <f>IF(B235&gt;=$S$2, A235, "")</f>
        <v/>
      </c>
      <c r="D235" s="13" t="str">
        <f>IF(AND(B235=1, B235&gt;=$S$2), A235, "")</f>
        <v/>
      </c>
      <c r="E235" s="13">
        <f>IF(B235&gt;=$S$2, B235, 0)</f>
        <v>0</v>
      </c>
      <c r="F235" s="13">
        <f t="shared" si="1"/>
        <v>0</v>
      </c>
      <c r="G235" s="13">
        <f t="shared" si="2"/>
        <v>0</v>
      </c>
      <c r="H235" s="13" t="str">
        <f>IF(B235&gt;=$T$2, A235, "")</f>
        <v/>
      </c>
      <c r="I235" s="14" t="e">
        <f t="shared" si="9"/>
        <v>#N/A</v>
      </c>
      <c r="J235" s="14">
        <v>0.5</v>
      </c>
      <c r="K235" s="14" t="e">
        <f t="shared" si="10"/>
        <v>#N/A</v>
      </c>
      <c r="L235" s="14">
        <v>0.4</v>
      </c>
      <c r="N235" s="4"/>
      <c r="O235" s="4"/>
      <c r="P235" s="5"/>
      <c r="Q235" s="1"/>
      <c r="R235" s="2"/>
      <c r="S235" s="2"/>
      <c r="T235" s="1"/>
      <c r="U235" s="2"/>
      <c r="V235" s="2"/>
      <c r="W235" s="2"/>
    </row>
    <row r="236" spans="1:23">
      <c r="A236" s="13">
        <v>23.4</v>
      </c>
      <c r="B236" s="13">
        <f t="shared" si="0"/>
        <v>0</v>
      </c>
      <c r="C236" s="13" t="str">
        <f>IF(B236&gt;=$S$2, A236, "")</f>
        <v/>
      </c>
      <c r="D236" s="13" t="str">
        <f>IF(AND(B236=1, B236&gt;=$S$2), A236, "")</f>
        <v/>
      </c>
      <c r="E236" s="13">
        <f>IF(B236&gt;=$S$2, B236, 0)</f>
        <v>0</v>
      </c>
      <c r="F236" s="13">
        <f t="shared" si="1"/>
        <v>0</v>
      </c>
      <c r="G236" s="13">
        <f t="shared" si="2"/>
        <v>0</v>
      </c>
      <c r="H236" s="13" t="str">
        <f>IF(B236&gt;=$T$2, A236, "")</f>
        <v/>
      </c>
      <c r="I236" s="14" t="e">
        <f t="shared" si="9"/>
        <v>#N/A</v>
      </c>
      <c r="J236" s="14">
        <v>0.5</v>
      </c>
      <c r="K236" s="14" t="e">
        <f t="shared" si="10"/>
        <v>#N/A</v>
      </c>
      <c r="L236" s="14">
        <v>0.4</v>
      </c>
      <c r="N236" s="4"/>
      <c r="O236" s="4"/>
      <c r="P236" s="5"/>
      <c r="Q236" s="1"/>
      <c r="R236" s="2"/>
      <c r="S236" s="2"/>
      <c r="T236" s="1"/>
      <c r="U236" s="2"/>
      <c r="V236" s="2"/>
      <c r="W236" s="2"/>
    </row>
    <row r="237" spans="1:23">
      <c r="A237" s="13">
        <v>23.5</v>
      </c>
      <c r="B237" s="13">
        <f t="shared" si="0"/>
        <v>0</v>
      </c>
      <c r="C237" s="13" t="str">
        <f>IF(B237&gt;=$S$2, A237, "")</f>
        <v/>
      </c>
      <c r="D237" s="13" t="str">
        <f>IF(AND(B237=1, B237&gt;=$S$2), A237, "")</f>
        <v/>
      </c>
      <c r="E237" s="13">
        <f>IF(B237&gt;=$S$2, B237, 0)</f>
        <v>0</v>
      </c>
      <c r="F237" s="13">
        <f t="shared" si="1"/>
        <v>0</v>
      </c>
      <c r="G237" s="13">
        <f t="shared" si="2"/>
        <v>0</v>
      </c>
      <c r="H237" s="13" t="str">
        <f>IF(B237&gt;=$T$2, A237, "")</f>
        <v/>
      </c>
      <c r="I237" s="14" t="e">
        <f t="shared" si="9"/>
        <v>#N/A</v>
      </c>
      <c r="J237" s="14">
        <v>0.5</v>
      </c>
      <c r="K237" s="14" t="e">
        <f t="shared" si="10"/>
        <v>#N/A</v>
      </c>
      <c r="L237" s="14">
        <v>0.4</v>
      </c>
      <c r="N237" s="4"/>
      <c r="O237" s="4"/>
      <c r="P237" s="5"/>
      <c r="Q237" s="1"/>
      <c r="R237" s="2"/>
      <c r="S237" s="2"/>
      <c r="T237" s="1"/>
      <c r="U237" s="2"/>
      <c r="V237" s="2"/>
      <c r="W237" s="2"/>
    </row>
    <row r="238" spans="1:23">
      <c r="A238" s="13">
        <v>23.6</v>
      </c>
      <c r="B238" s="13">
        <f t="shared" si="0"/>
        <v>0</v>
      </c>
      <c r="C238" s="13" t="str">
        <f>IF(B238&gt;=$S$2, A238, "")</f>
        <v/>
      </c>
      <c r="D238" s="13" t="str">
        <f>IF(AND(B238=1, B238&gt;=$S$2), A238, "")</f>
        <v/>
      </c>
      <c r="E238" s="13">
        <f>IF(B238&gt;=$S$2, B238, 0)</f>
        <v>0</v>
      </c>
      <c r="F238" s="13">
        <f t="shared" si="1"/>
        <v>0</v>
      </c>
      <c r="G238" s="13">
        <f t="shared" si="2"/>
        <v>0</v>
      </c>
      <c r="H238" s="13" t="str">
        <f>IF(B238&gt;=$T$2, A238, "")</f>
        <v/>
      </c>
      <c r="I238" s="14" t="e">
        <f t="shared" si="9"/>
        <v>#N/A</v>
      </c>
      <c r="J238" s="14">
        <v>0.5</v>
      </c>
      <c r="K238" s="14" t="e">
        <f t="shared" si="10"/>
        <v>#N/A</v>
      </c>
      <c r="L238" s="14">
        <v>0.4</v>
      </c>
      <c r="N238" s="4"/>
      <c r="O238" s="4"/>
      <c r="P238" s="5"/>
      <c r="Q238" s="1"/>
      <c r="R238" s="2"/>
      <c r="S238" s="2"/>
      <c r="T238" s="1"/>
      <c r="U238" s="2"/>
      <c r="V238" s="2"/>
      <c r="W238" s="2"/>
    </row>
    <row r="239" spans="1:23">
      <c r="A239" s="13">
        <v>23.7</v>
      </c>
      <c r="B239" s="13">
        <f t="shared" si="0"/>
        <v>0</v>
      </c>
      <c r="C239" s="13" t="str">
        <f>IF(B239&gt;=$S$2, A239, "")</f>
        <v/>
      </c>
      <c r="D239" s="13" t="str">
        <f>IF(AND(B239=1, B239&gt;=$S$2), A239, "")</f>
        <v/>
      </c>
      <c r="E239" s="13">
        <f>IF(B239&gt;=$S$2, B239, 0)</f>
        <v>0</v>
      </c>
      <c r="F239" s="13">
        <f t="shared" si="1"/>
        <v>0</v>
      </c>
      <c r="G239" s="13">
        <f t="shared" si="2"/>
        <v>0</v>
      </c>
      <c r="H239" s="13" t="str">
        <f>IF(B239&gt;=$T$2, A239, "")</f>
        <v/>
      </c>
      <c r="I239" s="14" t="e">
        <f t="shared" si="9"/>
        <v>#N/A</v>
      </c>
      <c r="J239" s="14">
        <v>0.5</v>
      </c>
      <c r="K239" s="14" t="e">
        <f t="shared" si="10"/>
        <v>#N/A</v>
      </c>
      <c r="L239" s="14">
        <v>0.4</v>
      </c>
      <c r="N239" s="4"/>
      <c r="O239" s="4"/>
      <c r="P239" s="5"/>
      <c r="Q239" s="1"/>
      <c r="R239" s="2"/>
      <c r="S239" s="2"/>
      <c r="T239" s="1"/>
      <c r="U239" s="2"/>
      <c r="V239" s="2"/>
      <c r="W239" s="2"/>
    </row>
    <row r="240" spans="1:23">
      <c r="A240" s="13">
        <v>23.8</v>
      </c>
      <c r="B240" s="13">
        <f t="shared" si="0"/>
        <v>0</v>
      </c>
      <c r="C240" s="13" t="str">
        <f>IF(B240&gt;=$S$2, A240, "")</f>
        <v/>
      </c>
      <c r="D240" s="13" t="str">
        <f>IF(AND(B240=1, B240&gt;=$S$2), A240, "")</f>
        <v/>
      </c>
      <c r="E240" s="13">
        <f>IF(B240&gt;=$S$2, B240, 0)</f>
        <v>0</v>
      </c>
      <c r="F240" s="13">
        <f t="shared" si="1"/>
        <v>0</v>
      </c>
      <c r="G240" s="13">
        <f t="shared" si="2"/>
        <v>0</v>
      </c>
      <c r="H240" s="13" t="str">
        <f>IF(B240&gt;=$T$2, A240, "")</f>
        <v/>
      </c>
      <c r="I240" s="14" t="e">
        <f t="shared" si="9"/>
        <v>#N/A</v>
      </c>
      <c r="J240" s="14">
        <v>0.5</v>
      </c>
      <c r="K240" s="14" t="e">
        <f t="shared" si="10"/>
        <v>#N/A</v>
      </c>
      <c r="L240" s="14">
        <v>0.4</v>
      </c>
      <c r="N240" s="4"/>
      <c r="O240" s="4"/>
      <c r="P240" s="5"/>
      <c r="Q240" s="1"/>
      <c r="R240" s="2"/>
      <c r="S240" s="2"/>
      <c r="T240" s="1"/>
      <c r="U240" s="2"/>
      <c r="V240" s="2"/>
      <c r="W240" s="2"/>
    </row>
    <row r="241" spans="1:23">
      <c r="A241" s="13">
        <v>23.9</v>
      </c>
      <c r="B241" s="13">
        <f t="shared" si="0"/>
        <v>0</v>
      </c>
      <c r="C241" s="13" t="str">
        <f>IF(B241&gt;=$S$2, A241, "")</f>
        <v/>
      </c>
      <c r="D241" s="13" t="str">
        <f>IF(AND(B241=1, B241&gt;=$S$2), A241, "")</f>
        <v/>
      </c>
      <c r="E241" s="13">
        <f>IF(B241&gt;=$S$2, B241, 0)</f>
        <v>0</v>
      </c>
      <c r="F241" s="13">
        <f t="shared" si="1"/>
        <v>0</v>
      </c>
      <c r="G241" s="13">
        <f t="shared" si="2"/>
        <v>0</v>
      </c>
      <c r="H241" s="13" t="str">
        <f>IF(B241&gt;=$T$2, A241, "")</f>
        <v/>
      </c>
      <c r="I241" s="14" t="e">
        <f t="shared" si="9"/>
        <v>#N/A</v>
      </c>
      <c r="J241" s="14">
        <v>0.5</v>
      </c>
      <c r="K241" s="14" t="e">
        <f t="shared" si="10"/>
        <v>#N/A</v>
      </c>
      <c r="L241" s="14">
        <v>0.4</v>
      </c>
      <c r="N241" s="4"/>
      <c r="O241" s="4"/>
      <c r="P241" s="5"/>
      <c r="Q241" s="1"/>
      <c r="R241" s="2"/>
      <c r="S241" s="2"/>
      <c r="T241" s="1"/>
      <c r="U241" s="2"/>
      <c r="V241" s="2"/>
      <c r="W241" s="2"/>
    </row>
    <row r="242" spans="1:23">
      <c r="A242" s="13">
        <v>24</v>
      </c>
      <c r="B242" s="13">
        <f t="shared" si="0"/>
        <v>0</v>
      </c>
      <c r="C242" s="13" t="str">
        <f>IF(B242&gt;=$S$2, A242, "")</f>
        <v/>
      </c>
      <c r="D242" s="13" t="str">
        <f>IF(AND(B242=1, B242&gt;=$S$2), A242, "")</f>
        <v/>
      </c>
      <c r="E242" s="13">
        <f>IF(B242&gt;=$S$2, B242, 0)</f>
        <v>0</v>
      </c>
      <c r="F242" s="13">
        <f t="shared" si="1"/>
        <v>0</v>
      </c>
      <c r="G242" s="13">
        <f t="shared" si="2"/>
        <v>0</v>
      </c>
      <c r="H242" s="13" t="str">
        <f>IF(B242&gt;=$T$2, A242, "")</f>
        <v/>
      </c>
      <c r="I242" s="14" t="e">
        <f t="shared" si="9"/>
        <v>#N/A</v>
      </c>
      <c r="J242" s="14">
        <v>0.5</v>
      </c>
      <c r="K242" s="14" t="e">
        <f t="shared" si="10"/>
        <v>#N/A</v>
      </c>
      <c r="L242" s="14">
        <v>0.4</v>
      </c>
      <c r="N242" s="4"/>
      <c r="O242" s="4"/>
      <c r="P242" s="5"/>
      <c r="Q242" s="1"/>
      <c r="R242" s="2"/>
      <c r="S242" s="2"/>
      <c r="T242" s="1"/>
      <c r="U242" s="2"/>
      <c r="V242" s="2"/>
      <c r="W242" s="2"/>
    </row>
    <row r="243" spans="1:23">
      <c r="A243" s="13">
        <v>24.1</v>
      </c>
      <c r="B243" s="13">
        <f t="shared" si="0"/>
        <v>0</v>
      </c>
      <c r="C243" s="13" t="str">
        <f>IF(B243&gt;=$S$2, A243, "")</f>
        <v/>
      </c>
      <c r="D243" s="13" t="str">
        <f>IF(AND(B243=1, B243&gt;=$S$2), A243, "")</f>
        <v/>
      </c>
      <c r="E243" s="13">
        <f>IF(B243&gt;=$S$2, B243, 0)</f>
        <v>0</v>
      </c>
      <c r="F243" s="13">
        <f t="shared" si="1"/>
        <v>0</v>
      </c>
      <c r="G243" s="13">
        <f t="shared" si="2"/>
        <v>0</v>
      </c>
      <c r="H243" s="13" t="str">
        <f>IF(B243&gt;=$T$2, A243, "")</f>
        <v/>
      </c>
      <c r="I243" s="14" t="e">
        <f t="shared" si="9"/>
        <v>#N/A</v>
      </c>
      <c r="J243" s="14">
        <v>0.5</v>
      </c>
      <c r="K243" s="14" t="e">
        <f t="shared" si="10"/>
        <v>#N/A</v>
      </c>
      <c r="L243" s="14">
        <v>0.4</v>
      </c>
      <c r="N243" s="4"/>
      <c r="O243" s="4"/>
      <c r="P243" s="5"/>
      <c r="Q243" s="1"/>
      <c r="R243" s="2"/>
      <c r="S243" s="2"/>
      <c r="T243" s="1"/>
      <c r="U243" s="2"/>
      <c r="V243" s="2"/>
      <c r="W243" s="2"/>
    </row>
    <row r="244" spans="1:23">
      <c r="A244" s="13">
        <v>24.2</v>
      </c>
      <c r="B244" s="13">
        <f t="shared" si="0"/>
        <v>0</v>
      </c>
      <c r="C244" s="13" t="str">
        <f>IF(B244&gt;=$S$2, A244, "")</f>
        <v/>
      </c>
      <c r="D244" s="13" t="str">
        <f>IF(AND(B244=1, B244&gt;=$S$2), A244, "")</f>
        <v/>
      </c>
      <c r="E244" s="13">
        <f>IF(B244&gt;=$S$2, B244, 0)</f>
        <v>0</v>
      </c>
      <c r="F244" s="13">
        <f t="shared" si="1"/>
        <v>0</v>
      </c>
      <c r="G244" s="13">
        <f t="shared" si="2"/>
        <v>0</v>
      </c>
      <c r="H244" s="13" t="str">
        <f>IF(B244&gt;=$T$2, A244, "")</f>
        <v/>
      </c>
      <c r="I244" s="14" t="e">
        <f t="shared" si="9"/>
        <v>#N/A</v>
      </c>
      <c r="J244" s="14">
        <v>0.5</v>
      </c>
      <c r="K244" s="14" t="e">
        <f t="shared" si="10"/>
        <v>#N/A</v>
      </c>
      <c r="L244" s="14">
        <v>0.4</v>
      </c>
      <c r="N244" s="4"/>
      <c r="O244" s="4"/>
      <c r="P244" s="5"/>
      <c r="Q244" s="1"/>
      <c r="R244" s="2"/>
      <c r="S244" s="2"/>
      <c r="T244" s="1"/>
      <c r="U244" s="2"/>
      <c r="V244" s="2"/>
      <c r="W244" s="2"/>
    </row>
    <row r="245" spans="1:23">
      <c r="A245" s="13">
        <v>24.3</v>
      </c>
      <c r="B245" s="13">
        <f t="shared" si="0"/>
        <v>0</v>
      </c>
      <c r="C245" s="13" t="str">
        <f>IF(B245&gt;=$S$2, A245, "")</f>
        <v/>
      </c>
      <c r="D245" s="13" t="str">
        <f>IF(AND(B245=1, B245&gt;=$S$2), A245, "")</f>
        <v/>
      </c>
      <c r="E245" s="13">
        <f>IF(B245&gt;=$S$2, B245, 0)</f>
        <v>0</v>
      </c>
      <c r="F245" s="13">
        <f t="shared" si="1"/>
        <v>0</v>
      </c>
      <c r="G245" s="13">
        <f t="shared" si="2"/>
        <v>0</v>
      </c>
      <c r="H245" s="13" t="str">
        <f>IF(B245&gt;=$T$2, A245, "")</f>
        <v/>
      </c>
      <c r="I245" s="14" t="e">
        <f t="shared" si="9"/>
        <v>#N/A</v>
      </c>
      <c r="J245" s="14">
        <v>0.5</v>
      </c>
      <c r="K245" s="14" t="e">
        <f t="shared" si="10"/>
        <v>#N/A</v>
      </c>
      <c r="L245" s="14">
        <v>0.4</v>
      </c>
      <c r="N245" s="4"/>
      <c r="O245" s="4"/>
      <c r="P245" s="5"/>
      <c r="Q245" s="1"/>
      <c r="R245" s="2"/>
      <c r="S245" s="2"/>
      <c r="T245" s="1"/>
      <c r="U245" s="2"/>
      <c r="V245" s="2"/>
      <c r="W245" s="2"/>
    </row>
    <row r="246" spans="1:23">
      <c r="A246" s="13">
        <v>24.4</v>
      </c>
      <c r="B246" s="13">
        <f t="shared" si="0"/>
        <v>0</v>
      </c>
      <c r="C246" s="13" t="str">
        <f>IF(B246&gt;=$S$2, A246, "")</f>
        <v/>
      </c>
      <c r="D246" s="13" t="str">
        <f>IF(AND(B246=1, B246&gt;=$S$2), A246, "")</f>
        <v/>
      </c>
      <c r="E246" s="13">
        <f>IF(B246&gt;=$S$2, B246, 0)</f>
        <v>0</v>
      </c>
      <c r="F246" s="13">
        <f t="shared" si="1"/>
        <v>0</v>
      </c>
      <c r="G246" s="13">
        <f t="shared" si="2"/>
        <v>0</v>
      </c>
      <c r="H246" s="13" t="str">
        <f>IF(B246&gt;=$T$2, A246, "")</f>
        <v/>
      </c>
      <c r="I246" s="14" t="e">
        <f t="shared" si="9"/>
        <v>#N/A</v>
      </c>
      <c r="J246" s="14">
        <v>0.5</v>
      </c>
      <c r="K246" s="14" t="e">
        <f t="shared" si="10"/>
        <v>#N/A</v>
      </c>
      <c r="L246" s="14">
        <v>0.4</v>
      </c>
      <c r="N246" s="4"/>
      <c r="O246" s="4"/>
      <c r="P246" s="5"/>
      <c r="Q246" s="1"/>
      <c r="R246" s="2"/>
      <c r="S246" s="2"/>
      <c r="T246" s="1"/>
      <c r="U246" s="2"/>
      <c r="V246" s="2"/>
      <c r="W246" s="2"/>
    </row>
    <row r="247" spans="1:23">
      <c r="A247" s="13">
        <v>24.5</v>
      </c>
      <c r="B247" s="13">
        <f t="shared" si="0"/>
        <v>0</v>
      </c>
      <c r="C247" s="13" t="str">
        <f>IF(B247&gt;=$S$2, A247, "")</f>
        <v/>
      </c>
      <c r="D247" s="13" t="str">
        <f>IF(AND(B247=1, B247&gt;=$S$2), A247, "")</f>
        <v/>
      </c>
      <c r="E247" s="13">
        <f>IF(B247&gt;=$S$2, B247, 0)</f>
        <v>0</v>
      </c>
      <c r="F247" s="13">
        <f t="shared" si="1"/>
        <v>0</v>
      </c>
      <c r="G247" s="13">
        <f t="shared" si="2"/>
        <v>0</v>
      </c>
      <c r="H247" s="13" t="str">
        <f>IF(B247&gt;=$T$2, A247, "")</f>
        <v/>
      </c>
      <c r="I247" s="14" t="e">
        <f t="shared" si="9"/>
        <v>#N/A</v>
      </c>
      <c r="J247" s="14">
        <v>0.5</v>
      </c>
      <c r="K247" s="14" t="e">
        <f t="shared" si="10"/>
        <v>#N/A</v>
      </c>
      <c r="L247" s="14">
        <v>0.4</v>
      </c>
      <c r="N247" s="4"/>
      <c r="O247" s="4"/>
      <c r="P247" s="5"/>
      <c r="Q247" s="1"/>
      <c r="R247" s="2"/>
      <c r="S247" s="2"/>
      <c r="T247" s="1"/>
      <c r="U247" s="2"/>
      <c r="V247" s="2"/>
      <c r="W247" s="2"/>
    </row>
    <row r="248" spans="1:23">
      <c r="A248" s="13">
        <v>24.6</v>
      </c>
      <c r="B248" s="13">
        <f t="shared" si="0"/>
        <v>0</v>
      </c>
      <c r="C248" s="13" t="str">
        <f>IF(B248&gt;=$S$2, A248, "")</f>
        <v/>
      </c>
      <c r="D248" s="13" t="str">
        <f>IF(AND(B248=1, B248&gt;=$S$2), A248, "")</f>
        <v/>
      </c>
      <c r="E248" s="13">
        <f>IF(B248&gt;=$S$2, B248, 0)</f>
        <v>0</v>
      </c>
      <c r="F248" s="13">
        <f t="shared" si="1"/>
        <v>0</v>
      </c>
      <c r="G248" s="13">
        <f t="shared" si="2"/>
        <v>0</v>
      </c>
      <c r="H248" s="13" t="str">
        <f>IF(B248&gt;=$T$2, A248, "")</f>
        <v/>
      </c>
      <c r="I248" s="14" t="e">
        <f t="shared" si="9"/>
        <v>#N/A</v>
      </c>
      <c r="J248" s="14">
        <v>0.5</v>
      </c>
      <c r="K248" s="14" t="e">
        <f t="shared" si="10"/>
        <v>#N/A</v>
      </c>
      <c r="L248" s="14">
        <v>0.4</v>
      </c>
      <c r="N248" s="4"/>
      <c r="O248" s="4"/>
      <c r="P248" s="5"/>
      <c r="Q248" s="1"/>
      <c r="R248" s="2"/>
      <c r="S248" s="2"/>
      <c r="T248" s="1"/>
      <c r="U248" s="2"/>
      <c r="V248" s="2"/>
      <c r="W248" s="2"/>
    </row>
    <row r="249" spans="1:23">
      <c r="A249" s="13">
        <v>24.7</v>
      </c>
      <c r="B249" s="13">
        <f t="shared" si="0"/>
        <v>0</v>
      </c>
      <c r="C249" s="13" t="str">
        <f>IF(B249&gt;=$S$2, A249, "")</f>
        <v/>
      </c>
      <c r="D249" s="13" t="str">
        <f>IF(AND(B249=1, B249&gt;=$S$2), A249, "")</f>
        <v/>
      </c>
      <c r="E249" s="13">
        <f>IF(B249&gt;=$S$2, B249, 0)</f>
        <v>0</v>
      </c>
      <c r="F249" s="13">
        <f t="shared" si="1"/>
        <v>0</v>
      </c>
      <c r="G249" s="13">
        <f t="shared" si="2"/>
        <v>0</v>
      </c>
      <c r="H249" s="13" t="str">
        <f>IF(B249&gt;=$T$2, A249, "")</f>
        <v/>
      </c>
      <c r="I249" s="14" t="e">
        <f t="shared" si="9"/>
        <v>#N/A</v>
      </c>
      <c r="J249" s="14">
        <v>0.5</v>
      </c>
      <c r="K249" s="14" t="e">
        <f t="shared" si="10"/>
        <v>#N/A</v>
      </c>
      <c r="L249" s="14">
        <v>0.4</v>
      </c>
      <c r="N249" s="4"/>
      <c r="O249" s="4"/>
      <c r="P249" s="5"/>
      <c r="Q249" s="1"/>
      <c r="R249" s="2"/>
      <c r="S249" s="2"/>
      <c r="T249" s="1"/>
      <c r="U249" s="2"/>
      <c r="V249" s="2"/>
      <c r="W249" s="2"/>
    </row>
    <row r="250" spans="1:23">
      <c r="A250" s="13">
        <v>24.8</v>
      </c>
      <c r="B250" s="13">
        <f t="shared" si="0"/>
        <v>0</v>
      </c>
      <c r="C250" s="13" t="str">
        <f>IF(B250&gt;=$S$2, A250, "")</f>
        <v/>
      </c>
      <c r="D250" s="13" t="str">
        <f>IF(AND(B250=1, B250&gt;=$S$2), A250, "")</f>
        <v/>
      </c>
      <c r="E250" s="13">
        <f>IF(B250&gt;=$S$2, B250, 0)</f>
        <v>0</v>
      </c>
      <c r="F250" s="13">
        <f t="shared" si="1"/>
        <v>0</v>
      </c>
      <c r="G250" s="13">
        <f t="shared" si="2"/>
        <v>0</v>
      </c>
      <c r="H250" s="13" t="str">
        <f>IF(B250&gt;=$T$2, A250, "")</f>
        <v/>
      </c>
      <c r="I250" s="14" t="e">
        <f t="shared" si="9"/>
        <v>#N/A</v>
      </c>
      <c r="J250" s="14">
        <v>0.5</v>
      </c>
      <c r="K250" s="14" t="e">
        <f t="shared" si="10"/>
        <v>#N/A</v>
      </c>
      <c r="L250" s="14">
        <v>0.4</v>
      </c>
      <c r="N250" s="4"/>
      <c r="O250" s="4"/>
      <c r="P250" s="5"/>
      <c r="Q250" s="1"/>
      <c r="R250" s="2"/>
      <c r="S250" s="2"/>
      <c r="T250" s="1"/>
      <c r="U250" s="2"/>
      <c r="V250" s="2"/>
      <c r="W250" s="2"/>
    </row>
    <row r="251" spans="1:23">
      <c r="A251" s="13">
        <v>24.9</v>
      </c>
      <c r="B251" s="13">
        <f t="shared" si="0"/>
        <v>0</v>
      </c>
      <c r="C251" s="13" t="str">
        <f>IF(B251&gt;=$S$2, A251, "")</f>
        <v/>
      </c>
      <c r="D251" s="13" t="str">
        <f>IF(AND(B251=1, B251&gt;=$S$2), A251, "")</f>
        <v/>
      </c>
      <c r="E251" s="13">
        <f>IF(B251&gt;=$S$2, B251, 0)</f>
        <v>0</v>
      </c>
      <c r="F251" s="13">
        <f t="shared" si="1"/>
        <v>0</v>
      </c>
      <c r="G251" s="13">
        <f t="shared" si="2"/>
        <v>0</v>
      </c>
      <c r="H251" s="13" t="str">
        <f>IF(B251&gt;=$T$2, A251, "")</f>
        <v/>
      </c>
      <c r="I251" s="14" t="e">
        <f t="shared" si="9"/>
        <v>#N/A</v>
      </c>
      <c r="J251" s="14">
        <v>0.5</v>
      </c>
      <c r="K251" s="14" t="e">
        <f t="shared" si="10"/>
        <v>#N/A</v>
      </c>
      <c r="L251" s="14">
        <v>0.4</v>
      </c>
      <c r="N251" s="4"/>
      <c r="O251" s="4"/>
      <c r="P251" s="5"/>
      <c r="Q251" s="1"/>
      <c r="R251" s="2"/>
      <c r="S251" s="2"/>
      <c r="T251" s="1"/>
      <c r="U251" s="2"/>
      <c r="V251" s="2"/>
      <c r="W251" s="2"/>
    </row>
    <row r="252" spans="1:23">
      <c r="A252" s="13">
        <v>25</v>
      </c>
      <c r="B252" s="13">
        <f t="shared" si="0"/>
        <v>0</v>
      </c>
      <c r="C252" s="13" t="str">
        <f>IF(B252&gt;=$S$2, A252, "")</f>
        <v/>
      </c>
      <c r="D252" s="13" t="str">
        <f>IF(AND(B252=1, B252&gt;=$S$2), A252, "")</f>
        <v/>
      </c>
      <c r="E252" s="13">
        <f>IF(B252&gt;=$S$2, B252, 0)</f>
        <v>0</v>
      </c>
      <c r="F252" s="13">
        <f t="shared" si="1"/>
        <v>0</v>
      </c>
      <c r="G252" s="13">
        <f t="shared" si="2"/>
        <v>0</v>
      </c>
      <c r="H252" s="13" t="str">
        <f>IF(B252&gt;=$T$2, A252, "")</f>
        <v/>
      </c>
      <c r="I252" s="14" t="e">
        <f t="shared" si="9"/>
        <v>#N/A</v>
      </c>
      <c r="J252" s="14">
        <v>0.5</v>
      </c>
      <c r="K252" s="14" t="e">
        <f t="shared" si="10"/>
        <v>#N/A</v>
      </c>
      <c r="L252" s="14">
        <v>0.4</v>
      </c>
      <c r="N252" s="4"/>
      <c r="O252" s="4"/>
      <c r="P252" s="5"/>
      <c r="Q252" s="1"/>
      <c r="R252" s="2"/>
      <c r="S252" s="2"/>
      <c r="T252" s="1"/>
      <c r="U252" s="2"/>
      <c r="V252" s="2"/>
      <c r="W252" s="2"/>
    </row>
    <row r="253" spans="1:23">
      <c r="A253" s="13">
        <v>25.1</v>
      </c>
      <c r="B253" s="13">
        <f t="shared" si="0"/>
        <v>0</v>
      </c>
      <c r="C253" s="13" t="str">
        <f>IF(B253&gt;=$S$2, A253, "")</f>
        <v/>
      </c>
      <c r="D253" s="13" t="str">
        <f>IF(AND(B253=1, B253&gt;=$S$2), A253, "")</f>
        <v/>
      </c>
      <c r="E253" s="13">
        <f>IF(B253&gt;=$S$2, B253, 0)</f>
        <v>0</v>
      </c>
      <c r="F253" s="13">
        <f t="shared" si="1"/>
        <v>0</v>
      </c>
      <c r="G253" s="13">
        <f t="shared" si="2"/>
        <v>0</v>
      </c>
      <c r="H253" s="13" t="str">
        <f>IF(B253&gt;=$T$2, A253, "")</f>
        <v/>
      </c>
      <c r="I253" s="14" t="e">
        <f t="shared" si="9"/>
        <v>#N/A</v>
      </c>
      <c r="J253" s="14">
        <v>0.5</v>
      </c>
      <c r="K253" s="14" t="e">
        <f t="shared" si="10"/>
        <v>#N/A</v>
      </c>
      <c r="L253" s="14">
        <v>0.4</v>
      </c>
      <c r="N253" s="4"/>
      <c r="O253" s="4"/>
      <c r="P253" s="5"/>
      <c r="Q253" s="1"/>
      <c r="R253" s="2"/>
      <c r="S253" s="2"/>
      <c r="T253" s="1"/>
      <c r="U253" s="2"/>
      <c r="V253" s="2"/>
      <c r="W253" s="2"/>
    </row>
    <row r="254" spans="1:23">
      <c r="A254" s="13">
        <v>25.2</v>
      </c>
      <c r="B254" s="13">
        <f t="shared" si="0"/>
        <v>0</v>
      </c>
      <c r="C254" s="13" t="str">
        <f>IF(B254&gt;=$S$2, A254, "")</f>
        <v/>
      </c>
      <c r="D254" s="13" t="str">
        <f>IF(AND(B254=1, B254&gt;=$S$2), A254, "")</f>
        <v/>
      </c>
      <c r="E254" s="13">
        <f>IF(B254&gt;=$S$2, B254, 0)</f>
        <v>0</v>
      </c>
      <c r="F254" s="13">
        <f t="shared" si="1"/>
        <v>0</v>
      </c>
      <c r="G254" s="13">
        <f t="shared" si="2"/>
        <v>0</v>
      </c>
      <c r="H254" s="13" t="str">
        <f>IF(B254&gt;=$T$2, A254, "")</f>
        <v/>
      </c>
      <c r="I254" s="14" t="e">
        <f t="shared" si="9"/>
        <v>#N/A</v>
      </c>
      <c r="J254" s="14">
        <v>0.5</v>
      </c>
      <c r="K254" s="14" t="e">
        <f t="shared" si="10"/>
        <v>#N/A</v>
      </c>
      <c r="L254" s="14">
        <v>0.4</v>
      </c>
      <c r="N254" s="4"/>
      <c r="O254" s="4"/>
      <c r="P254" s="5"/>
      <c r="Q254" s="1"/>
      <c r="R254" s="2"/>
      <c r="S254" s="2"/>
      <c r="T254" s="1"/>
      <c r="U254" s="2"/>
      <c r="V254" s="2"/>
      <c r="W254" s="2"/>
    </row>
    <row r="255" spans="1:23">
      <c r="A255" s="13">
        <v>25.3</v>
      </c>
      <c r="B255" s="13">
        <f t="shared" si="0"/>
        <v>0</v>
      </c>
      <c r="C255" s="13" t="str">
        <f>IF(B255&gt;=$S$2, A255, "")</f>
        <v/>
      </c>
      <c r="D255" s="13" t="str">
        <f>IF(AND(B255=1, B255&gt;=$S$2), A255, "")</f>
        <v/>
      </c>
      <c r="E255" s="13">
        <f>IF(B255&gt;=$S$2, B255, 0)</f>
        <v>0</v>
      </c>
      <c r="F255" s="13">
        <f t="shared" si="1"/>
        <v>0</v>
      </c>
      <c r="G255" s="13">
        <f t="shared" si="2"/>
        <v>0</v>
      </c>
      <c r="H255" s="13" t="str">
        <f>IF(B255&gt;=$T$2, A255, "")</f>
        <v/>
      </c>
      <c r="I255" s="14" t="e">
        <f t="shared" si="9"/>
        <v>#N/A</v>
      </c>
      <c r="J255" s="14">
        <v>0.5</v>
      </c>
      <c r="K255" s="14" t="e">
        <f t="shared" si="10"/>
        <v>#N/A</v>
      </c>
      <c r="L255" s="14">
        <v>0.4</v>
      </c>
      <c r="N255" s="4"/>
      <c r="O255" s="4"/>
      <c r="P255" s="5"/>
      <c r="Q255" s="1"/>
      <c r="R255" s="2"/>
      <c r="S255" s="2"/>
      <c r="T255" s="1"/>
      <c r="U255" s="2"/>
      <c r="V255" s="2"/>
      <c r="W255" s="2"/>
    </row>
    <row r="256" spans="1:23">
      <c r="A256" s="13">
        <v>25.4</v>
      </c>
      <c r="B256" s="13">
        <f t="shared" si="0"/>
        <v>0</v>
      </c>
      <c r="C256" s="13" t="str">
        <f>IF(B256&gt;=$S$2, A256, "")</f>
        <v/>
      </c>
      <c r="D256" s="13" t="str">
        <f>IF(AND(B256=1, B256&gt;=$S$2), A256, "")</f>
        <v/>
      </c>
      <c r="E256" s="13">
        <f>IF(B256&gt;=$S$2, B256, 0)</f>
        <v>0</v>
      </c>
      <c r="F256" s="13">
        <f t="shared" si="1"/>
        <v>0</v>
      </c>
      <c r="G256" s="13">
        <f t="shared" si="2"/>
        <v>0</v>
      </c>
      <c r="H256" s="13" t="str">
        <f>IF(B256&gt;=$T$2, A256, "")</f>
        <v/>
      </c>
      <c r="I256" s="14" t="e">
        <f t="shared" si="9"/>
        <v>#N/A</v>
      </c>
      <c r="J256" s="14">
        <v>0.5</v>
      </c>
      <c r="K256" s="14" t="e">
        <f t="shared" si="10"/>
        <v>#N/A</v>
      </c>
      <c r="L256" s="14">
        <v>0.4</v>
      </c>
      <c r="N256" s="4"/>
      <c r="O256" s="4"/>
      <c r="P256" s="5"/>
      <c r="Q256" s="1"/>
      <c r="R256" s="2"/>
      <c r="S256" s="2"/>
      <c r="T256" s="1"/>
      <c r="U256" s="2"/>
      <c r="V256" s="2"/>
      <c r="W256" s="2"/>
    </row>
    <row r="257" spans="1:23">
      <c r="A257" s="13">
        <v>25.5</v>
      </c>
      <c r="B257" s="13">
        <f t="shared" si="0"/>
        <v>0</v>
      </c>
      <c r="C257" s="13" t="str">
        <f>IF(B257&gt;=$S$2, A257, "")</f>
        <v/>
      </c>
      <c r="D257" s="13" t="str">
        <f>IF(AND(B257=1, B257&gt;=$S$2), A257, "")</f>
        <v/>
      </c>
      <c r="E257" s="13">
        <f>IF(B257&gt;=$S$2, B257, 0)</f>
        <v>0</v>
      </c>
      <c r="F257" s="13">
        <f t="shared" si="1"/>
        <v>0</v>
      </c>
      <c r="G257" s="13">
        <f t="shared" si="2"/>
        <v>0</v>
      </c>
      <c r="H257" s="13" t="str">
        <f>IF(B257&gt;=$T$2, A257, "")</f>
        <v/>
      </c>
      <c r="I257" s="14" t="e">
        <f t="shared" si="9"/>
        <v>#N/A</v>
      </c>
      <c r="J257" s="14">
        <v>0.5</v>
      </c>
      <c r="K257" s="14" t="e">
        <f t="shared" si="10"/>
        <v>#N/A</v>
      </c>
      <c r="L257" s="14">
        <v>0.4</v>
      </c>
      <c r="N257" s="4"/>
      <c r="O257" s="4"/>
      <c r="P257" s="5"/>
      <c r="Q257" s="1"/>
      <c r="R257" s="2"/>
      <c r="S257" s="2"/>
      <c r="T257" s="1"/>
      <c r="U257" s="2"/>
      <c r="V257" s="2"/>
      <c r="W257" s="2"/>
    </row>
    <row r="258" spans="1:23">
      <c r="A258" s="13">
        <v>25.6</v>
      </c>
      <c r="B258" s="13">
        <f t="shared" si="0"/>
        <v>0</v>
      </c>
      <c r="C258" s="13" t="str">
        <f>IF(B258&gt;=$S$2, A258, "")</f>
        <v/>
      </c>
      <c r="D258" s="13" t="str">
        <f>IF(AND(B258=1, B258&gt;=$S$2), A258, "")</f>
        <v/>
      </c>
      <c r="E258" s="13">
        <f>IF(B258&gt;=$S$2, B258, 0)</f>
        <v>0</v>
      </c>
      <c r="F258" s="13">
        <f t="shared" si="1"/>
        <v>0</v>
      </c>
      <c r="G258" s="13">
        <f t="shared" si="2"/>
        <v>0</v>
      </c>
      <c r="H258" s="13" t="str">
        <f>IF(B258&gt;=$T$2, A258, "")</f>
        <v/>
      </c>
      <c r="I258" s="14" t="e">
        <f t="shared" si="9"/>
        <v>#N/A</v>
      </c>
      <c r="J258" s="14">
        <v>0.5</v>
      </c>
      <c r="K258" s="14" t="e">
        <f t="shared" si="10"/>
        <v>#N/A</v>
      </c>
      <c r="L258" s="14">
        <v>0.4</v>
      </c>
      <c r="N258" s="4"/>
      <c r="O258" s="4"/>
      <c r="P258" s="5"/>
      <c r="Q258" s="1"/>
      <c r="R258" s="2"/>
      <c r="S258" s="2"/>
      <c r="T258" s="1"/>
      <c r="U258" s="2"/>
      <c r="V258" s="2"/>
      <c r="W258" s="2"/>
    </row>
    <row r="259" spans="1:23">
      <c r="A259" s="13">
        <v>25.7</v>
      </c>
      <c r="B259" s="13">
        <f t="shared" si="0"/>
        <v>0</v>
      </c>
      <c r="C259" s="13" t="str">
        <f>IF(B259&gt;=$S$2, A259, "")</f>
        <v/>
      </c>
      <c r="D259" s="13" t="str">
        <f>IF(AND(B259=1, B259&gt;=$S$2), A259, "")</f>
        <v/>
      </c>
      <c r="E259" s="13">
        <f>IF(B259&gt;=$S$2, B259, 0)</f>
        <v>0</v>
      </c>
      <c r="F259" s="13">
        <f t="shared" si="1"/>
        <v>0</v>
      </c>
      <c r="G259" s="13">
        <f t="shared" si="2"/>
        <v>0</v>
      </c>
      <c r="H259" s="13" t="str">
        <f>IF(B259&gt;=$T$2, A259, "")</f>
        <v/>
      </c>
      <c r="I259" s="14" t="e">
        <f t="shared" ref="I259:I322" si="11">IF($B259&gt;=0.5, $B259, #N/A)</f>
        <v>#N/A</v>
      </c>
      <c r="J259" s="14">
        <v>0.5</v>
      </c>
      <c r="K259" s="14" t="e">
        <f t="shared" ref="K259:K322" si="12">IF($B259&gt;=0.4, $B259, #N/A)</f>
        <v>#N/A</v>
      </c>
      <c r="L259" s="14">
        <v>0.4</v>
      </c>
      <c r="N259" s="4"/>
      <c r="O259" s="4"/>
      <c r="P259" s="5"/>
      <c r="Q259" s="1"/>
      <c r="R259" s="2"/>
      <c r="S259" s="2"/>
      <c r="T259" s="1"/>
      <c r="U259" s="2"/>
      <c r="V259" s="2"/>
      <c r="W259" s="2"/>
    </row>
    <row r="260" spans="1:23">
      <c r="A260" s="13">
        <v>25.8</v>
      </c>
      <c r="B260" s="13">
        <f t="shared" si="0"/>
        <v>0</v>
      </c>
      <c r="C260" s="13" t="str">
        <f>IF(B260&gt;=$S$2, A260, "")</f>
        <v/>
      </c>
      <c r="D260" s="13" t="str">
        <f>IF(AND(B260=1, B260&gt;=$S$2), A260, "")</f>
        <v/>
      </c>
      <c r="E260" s="13">
        <f>IF(B260&gt;=$S$2, B260, 0)</f>
        <v>0</v>
      </c>
      <c r="F260" s="13">
        <f t="shared" si="1"/>
        <v>0</v>
      </c>
      <c r="G260" s="13">
        <f t="shared" si="2"/>
        <v>0</v>
      </c>
      <c r="H260" s="13" t="str">
        <f>IF(B260&gt;=$T$2, A260, "")</f>
        <v/>
      </c>
      <c r="I260" s="14" t="e">
        <f t="shared" si="11"/>
        <v>#N/A</v>
      </c>
      <c r="J260" s="14">
        <v>0.5</v>
      </c>
      <c r="K260" s="14" t="e">
        <f t="shared" si="12"/>
        <v>#N/A</v>
      </c>
      <c r="L260" s="14">
        <v>0.4</v>
      </c>
      <c r="N260" s="4"/>
      <c r="O260" s="4"/>
      <c r="P260" s="5"/>
      <c r="Q260" s="1"/>
      <c r="R260" s="2"/>
      <c r="S260" s="2"/>
      <c r="T260" s="1"/>
      <c r="U260" s="2"/>
      <c r="V260" s="2"/>
      <c r="W260" s="2"/>
    </row>
    <row r="261" spans="1:23">
      <c r="A261" s="13">
        <v>25.9</v>
      </c>
      <c r="B261" s="13">
        <f t="shared" si="0"/>
        <v>0</v>
      </c>
      <c r="C261" s="13" t="str">
        <f>IF(B261&gt;=$S$2, A261, "")</f>
        <v/>
      </c>
      <c r="D261" s="13" t="str">
        <f>IF(AND(B261=1, B261&gt;=$S$2), A261, "")</f>
        <v/>
      </c>
      <c r="E261" s="13">
        <f>IF(B261&gt;=$S$2, B261, 0)</f>
        <v>0</v>
      </c>
      <c r="F261" s="13">
        <f t="shared" si="1"/>
        <v>0</v>
      </c>
      <c r="G261" s="13">
        <f t="shared" si="2"/>
        <v>0</v>
      </c>
      <c r="H261" s="13" t="str">
        <f>IF(B261&gt;=$T$2, A261, "")</f>
        <v/>
      </c>
      <c r="I261" s="14" t="e">
        <f t="shared" si="11"/>
        <v>#N/A</v>
      </c>
      <c r="J261" s="14">
        <v>0.5</v>
      </c>
      <c r="K261" s="14" t="e">
        <f t="shared" si="12"/>
        <v>#N/A</v>
      </c>
      <c r="L261" s="14">
        <v>0.4</v>
      </c>
      <c r="N261" s="4"/>
      <c r="O261" s="4"/>
      <c r="P261" s="5"/>
      <c r="Q261" s="1"/>
      <c r="R261" s="2"/>
      <c r="S261" s="2"/>
      <c r="T261" s="1"/>
      <c r="U261" s="2"/>
      <c r="V261" s="2"/>
      <c r="W261" s="2"/>
    </row>
    <row r="262" spans="1:23">
      <c r="A262" s="13">
        <v>26</v>
      </c>
      <c r="B262" s="13">
        <f t="shared" si="0"/>
        <v>0</v>
      </c>
      <c r="C262" s="13" t="str">
        <f>IF(B262&gt;=$S$2, A262, "")</f>
        <v/>
      </c>
      <c r="D262" s="13" t="str">
        <f>IF(AND(B262=1, B262&gt;=$S$2), A262, "")</f>
        <v/>
      </c>
      <c r="E262" s="13">
        <f>IF(B262&gt;=$S$2, B262, 0)</f>
        <v>0</v>
      </c>
      <c r="F262" s="13">
        <f t="shared" si="1"/>
        <v>0</v>
      </c>
      <c r="G262" s="13">
        <f t="shared" si="2"/>
        <v>0</v>
      </c>
      <c r="H262" s="13" t="str">
        <f>IF(B262&gt;=$T$2, A262, "")</f>
        <v/>
      </c>
      <c r="I262" s="14" t="e">
        <f t="shared" si="11"/>
        <v>#N/A</v>
      </c>
      <c r="J262" s="14">
        <v>0.5</v>
      </c>
      <c r="K262" s="14" t="e">
        <f t="shared" si="12"/>
        <v>#N/A</v>
      </c>
      <c r="L262" s="14">
        <v>0.4</v>
      </c>
      <c r="N262" s="4"/>
      <c r="O262" s="4"/>
      <c r="P262" s="5"/>
      <c r="Q262" s="1"/>
      <c r="R262" s="2"/>
      <c r="S262" s="2"/>
      <c r="T262" s="1"/>
      <c r="U262" s="2"/>
      <c r="V262" s="2"/>
      <c r="W262" s="2"/>
    </row>
    <row r="263" spans="1:23">
      <c r="A263" s="13">
        <v>26.1</v>
      </c>
      <c r="B263" s="13">
        <f t="shared" si="0"/>
        <v>0</v>
      </c>
      <c r="C263" s="13" t="str">
        <f>IF(B263&gt;=$S$2, A263, "")</f>
        <v/>
      </c>
      <c r="D263" s="13" t="str">
        <f>IF(AND(B263=1, B263&gt;=$S$2), A263, "")</f>
        <v/>
      </c>
      <c r="E263" s="13">
        <f>IF(B263&gt;=$S$2, B263, 0)</f>
        <v>0</v>
      </c>
      <c r="F263" s="13">
        <f t="shared" si="1"/>
        <v>0</v>
      </c>
      <c r="G263" s="13">
        <f t="shared" si="2"/>
        <v>0</v>
      </c>
      <c r="H263" s="13" t="str">
        <f>IF(B263&gt;=$T$2, A263, "")</f>
        <v/>
      </c>
      <c r="I263" s="14" t="e">
        <f t="shared" si="11"/>
        <v>#N/A</v>
      </c>
      <c r="J263" s="14">
        <v>0.5</v>
      </c>
      <c r="K263" s="14" t="e">
        <f t="shared" si="12"/>
        <v>#N/A</v>
      </c>
      <c r="L263" s="14">
        <v>0.4</v>
      </c>
      <c r="N263" s="4"/>
      <c r="O263" s="4"/>
      <c r="P263" s="5"/>
      <c r="Q263" s="1"/>
      <c r="R263" s="2"/>
      <c r="S263" s="2"/>
      <c r="T263" s="1"/>
      <c r="U263" s="2"/>
      <c r="V263" s="2"/>
      <c r="W263" s="2"/>
    </row>
    <row r="264" spans="1:23">
      <c r="A264" s="13">
        <v>26.2</v>
      </c>
      <c r="B264" s="13">
        <f t="shared" si="0"/>
        <v>0</v>
      </c>
      <c r="C264" s="13" t="str">
        <f>IF(B264&gt;=$S$2, A264, "")</f>
        <v/>
      </c>
      <c r="D264" s="13" t="str">
        <f>IF(AND(B264=1, B264&gt;=$S$2), A264, "")</f>
        <v/>
      </c>
      <c r="E264" s="13">
        <f>IF(B264&gt;=$S$2, B264, 0)</f>
        <v>0</v>
      </c>
      <c r="F264" s="13">
        <f t="shared" si="1"/>
        <v>0</v>
      </c>
      <c r="G264" s="13">
        <f t="shared" si="2"/>
        <v>0</v>
      </c>
      <c r="H264" s="13" t="str">
        <f>IF(B264&gt;=$T$2, A264, "")</f>
        <v/>
      </c>
      <c r="I264" s="14" t="e">
        <f t="shared" si="11"/>
        <v>#N/A</v>
      </c>
      <c r="J264" s="14">
        <v>0.5</v>
      </c>
      <c r="K264" s="14" t="e">
        <f t="shared" si="12"/>
        <v>#N/A</v>
      </c>
      <c r="L264" s="14">
        <v>0.4</v>
      </c>
      <c r="N264" s="4"/>
      <c r="O264" s="4"/>
      <c r="P264" s="5"/>
      <c r="Q264" s="1"/>
      <c r="R264" s="2"/>
      <c r="S264" s="2"/>
      <c r="T264" s="1"/>
      <c r="U264" s="2"/>
      <c r="V264" s="2"/>
      <c r="W264" s="2"/>
    </row>
    <row r="265" spans="1:23">
      <c r="A265" s="13">
        <v>26.3</v>
      </c>
      <c r="B265" s="13">
        <f t="shared" si="0"/>
        <v>0</v>
      </c>
      <c r="C265" s="13" t="str">
        <f>IF(B265&gt;=$S$2, A265, "")</f>
        <v/>
      </c>
      <c r="D265" s="13" t="str">
        <f>IF(AND(B265=1, B265&gt;=$S$2), A265, "")</f>
        <v/>
      </c>
      <c r="E265" s="13">
        <f>IF(B265&gt;=$S$2, B265, 0)</f>
        <v>0</v>
      </c>
      <c r="F265" s="13">
        <f t="shared" si="1"/>
        <v>0</v>
      </c>
      <c r="G265" s="13">
        <f t="shared" si="2"/>
        <v>0</v>
      </c>
      <c r="H265" s="13" t="str">
        <f>IF(B265&gt;=$T$2, A265, "")</f>
        <v/>
      </c>
      <c r="I265" s="14" t="e">
        <f t="shared" si="11"/>
        <v>#N/A</v>
      </c>
      <c r="J265" s="14">
        <v>0.5</v>
      </c>
      <c r="K265" s="14" t="e">
        <f t="shared" si="12"/>
        <v>#N/A</v>
      </c>
      <c r="L265" s="14">
        <v>0.4</v>
      </c>
      <c r="N265" s="4"/>
      <c r="O265" s="4"/>
      <c r="P265" s="5"/>
      <c r="Q265" s="1"/>
      <c r="R265" s="2"/>
      <c r="S265" s="2"/>
      <c r="T265" s="1"/>
      <c r="U265" s="2"/>
      <c r="V265" s="2"/>
      <c r="W265" s="2"/>
    </row>
    <row r="266" spans="1:23">
      <c r="A266" s="13">
        <v>26.4</v>
      </c>
      <c r="B266" s="13">
        <f t="shared" si="0"/>
        <v>0</v>
      </c>
      <c r="C266" s="13" t="str">
        <f>IF(B266&gt;=$S$2, A266, "")</f>
        <v/>
      </c>
      <c r="D266" s="13" t="str">
        <f>IF(AND(B266=1, B266&gt;=$S$2), A266, "")</f>
        <v/>
      </c>
      <c r="E266" s="13">
        <f>IF(B266&gt;=$S$2, B266, 0)</f>
        <v>0</v>
      </c>
      <c r="F266" s="13">
        <f t="shared" si="1"/>
        <v>0</v>
      </c>
      <c r="G266" s="13">
        <f t="shared" si="2"/>
        <v>0</v>
      </c>
      <c r="H266" s="13" t="str">
        <f>IF(B266&gt;=$T$2, A266, "")</f>
        <v/>
      </c>
      <c r="I266" s="14" t="e">
        <f t="shared" si="11"/>
        <v>#N/A</v>
      </c>
      <c r="J266" s="14">
        <v>0.5</v>
      </c>
      <c r="K266" s="14" t="e">
        <f t="shared" si="12"/>
        <v>#N/A</v>
      </c>
      <c r="L266" s="14">
        <v>0.4</v>
      </c>
      <c r="N266" s="4"/>
      <c r="O266" s="4"/>
      <c r="P266" s="5"/>
      <c r="Q266" s="1"/>
      <c r="R266" s="2"/>
      <c r="S266" s="2"/>
      <c r="T266" s="1"/>
      <c r="U266" s="2"/>
      <c r="V266" s="2"/>
      <c r="W266" s="2"/>
    </row>
    <row r="267" spans="1:23">
      <c r="A267" s="13">
        <v>26.5</v>
      </c>
      <c r="B267" s="13">
        <f t="shared" si="0"/>
        <v>0</v>
      </c>
      <c r="C267" s="13" t="str">
        <f>IF(B267&gt;=$S$2, A267, "")</f>
        <v/>
      </c>
      <c r="D267" s="13" t="str">
        <f>IF(AND(B267=1, B267&gt;=$S$2), A267, "")</f>
        <v/>
      </c>
      <c r="E267" s="13">
        <f>IF(B267&gt;=$S$2, B267, 0)</f>
        <v>0</v>
      </c>
      <c r="F267" s="13">
        <f t="shared" si="1"/>
        <v>0</v>
      </c>
      <c r="G267" s="13">
        <f t="shared" si="2"/>
        <v>0</v>
      </c>
      <c r="H267" s="13" t="str">
        <f>IF(B267&gt;=$T$2, A267, "")</f>
        <v/>
      </c>
      <c r="I267" s="14" t="e">
        <f t="shared" si="11"/>
        <v>#N/A</v>
      </c>
      <c r="J267" s="14">
        <v>0.5</v>
      </c>
      <c r="K267" s="14" t="e">
        <f t="shared" si="12"/>
        <v>#N/A</v>
      </c>
      <c r="L267" s="14">
        <v>0.4</v>
      </c>
      <c r="N267" s="4"/>
      <c r="O267" s="4"/>
      <c r="P267" s="5"/>
      <c r="Q267" s="1"/>
      <c r="R267" s="2"/>
      <c r="S267" s="2"/>
      <c r="T267" s="1"/>
      <c r="U267" s="2"/>
      <c r="V267" s="2"/>
      <c r="W267" s="2"/>
    </row>
    <row r="268" spans="1:23">
      <c r="A268" s="13">
        <v>26.6</v>
      </c>
      <c r="B268" s="13">
        <f t="shared" si="0"/>
        <v>0</v>
      </c>
      <c r="C268" s="13" t="str">
        <f>IF(B268&gt;=$S$2, A268, "")</f>
        <v/>
      </c>
      <c r="D268" s="13" t="str">
        <f>IF(AND(B268=1, B268&gt;=$S$2), A268, "")</f>
        <v/>
      </c>
      <c r="E268" s="13">
        <f>IF(B268&gt;=$S$2, B268, 0)</f>
        <v>0</v>
      </c>
      <c r="F268" s="13">
        <f t="shared" si="1"/>
        <v>0</v>
      </c>
      <c r="G268" s="13">
        <f t="shared" si="2"/>
        <v>0</v>
      </c>
      <c r="H268" s="13" t="str">
        <f>IF(B268&gt;=$T$2, A268, "")</f>
        <v/>
      </c>
      <c r="I268" s="14" t="e">
        <f t="shared" si="11"/>
        <v>#N/A</v>
      </c>
      <c r="J268" s="14">
        <v>0.5</v>
      </c>
      <c r="K268" s="14" t="e">
        <f t="shared" si="12"/>
        <v>#N/A</v>
      </c>
      <c r="L268" s="14">
        <v>0.4</v>
      </c>
      <c r="N268" s="4"/>
      <c r="O268" s="4"/>
      <c r="P268" s="5"/>
      <c r="Q268" s="1"/>
      <c r="R268" s="2"/>
      <c r="S268" s="2"/>
      <c r="T268" s="1"/>
      <c r="U268" s="2"/>
      <c r="V268" s="2"/>
      <c r="W268" s="2"/>
    </row>
    <row r="269" spans="1:23">
      <c r="A269" s="13">
        <v>26.7</v>
      </c>
      <c r="B269" s="13">
        <f t="shared" si="0"/>
        <v>0</v>
      </c>
      <c r="C269" s="13" t="str">
        <f>IF(B269&gt;=$S$2, A269, "")</f>
        <v/>
      </c>
      <c r="D269" s="13" t="str">
        <f>IF(AND(B269=1, B269&gt;=$S$2), A269, "")</f>
        <v/>
      </c>
      <c r="E269" s="13">
        <f>IF(B269&gt;=$S$2, B269, 0)</f>
        <v>0</v>
      </c>
      <c r="F269" s="13">
        <f t="shared" si="1"/>
        <v>0</v>
      </c>
      <c r="G269" s="13">
        <f t="shared" si="2"/>
        <v>0</v>
      </c>
      <c r="H269" s="13" t="str">
        <f>IF(B269&gt;=$T$2, A269, "")</f>
        <v/>
      </c>
      <c r="I269" s="14" t="e">
        <f t="shared" si="11"/>
        <v>#N/A</v>
      </c>
      <c r="J269" s="14">
        <v>0.5</v>
      </c>
      <c r="K269" s="14" t="e">
        <f t="shared" si="12"/>
        <v>#N/A</v>
      </c>
      <c r="L269" s="14">
        <v>0.4</v>
      </c>
      <c r="N269" s="4"/>
      <c r="O269" s="4"/>
      <c r="P269" s="5"/>
      <c r="Q269" s="1"/>
      <c r="R269" s="2"/>
      <c r="S269" s="2"/>
      <c r="T269" s="1"/>
      <c r="U269" s="2"/>
      <c r="V269" s="2"/>
      <c r="W269" s="2"/>
    </row>
    <row r="270" spans="1:23">
      <c r="A270" s="13">
        <v>26.8</v>
      </c>
      <c r="B270" s="13">
        <f t="shared" si="0"/>
        <v>0</v>
      </c>
      <c r="C270" s="13" t="str">
        <f>IF(B270&gt;=$S$2, A270, "")</f>
        <v/>
      </c>
      <c r="D270" s="13" t="str">
        <f>IF(AND(B270=1, B270&gt;=$S$2), A270, "")</f>
        <v/>
      </c>
      <c r="E270" s="13">
        <f>IF(B270&gt;=$S$2, B270, 0)</f>
        <v>0</v>
      </c>
      <c r="F270" s="13">
        <f t="shared" si="1"/>
        <v>0</v>
      </c>
      <c r="G270" s="13">
        <f t="shared" si="2"/>
        <v>0</v>
      </c>
      <c r="H270" s="13" t="str">
        <f>IF(B270&gt;=$T$2, A270, "")</f>
        <v/>
      </c>
      <c r="I270" s="14" t="e">
        <f t="shared" si="11"/>
        <v>#N/A</v>
      </c>
      <c r="J270" s="14">
        <v>0.5</v>
      </c>
      <c r="K270" s="14" t="e">
        <f t="shared" si="12"/>
        <v>#N/A</v>
      </c>
      <c r="L270" s="14">
        <v>0.4</v>
      </c>
      <c r="N270" s="4"/>
      <c r="O270" s="4"/>
      <c r="P270" s="5"/>
      <c r="Q270" s="1"/>
      <c r="R270" s="2"/>
      <c r="S270" s="2"/>
      <c r="T270" s="1"/>
      <c r="U270" s="2"/>
      <c r="V270" s="2"/>
      <c r="W270" s="2"/>
    </row>
    <row r="271" spans="1:23">
      <c r="A271" s="13">
        <v>26.9</v>
      </c>
      <c r="B271" s="13">
        <f t="shared" si="0"/>
        <v>0</v>
      </c>
      <c r="C271" s="13" t="str">
        <f>IF(B271&gt;=$S$2, A271, "")</f>
        <v/>
      </c>
      <c r="D271" s="13" t="str">
        <f>IF(AND(B271=1, B271&gt;=$S$2), A271, "")</f>
        <v/>
      </c>
      <c r="E271" s="13">
        <f>IF(B271&gt;=$S$2, B271, 0)</f>
        <v>0</v>
      </c>
      <c r="F271" s="13">
        <f t="shared" si="1"/>
        <v>0</v>
      </c>
      <c r="G271" s="13">
        <f t="shared" si="2"/>
        <v>0</v>
      </c>
      <c r="H271" s="13" t="str">
        <f>IF(B271&gt;=$T$2, A271, "")</f>
        <v/>
      </c>
      <c r="I271" s="14" t="e">
        <f t="shared" si="11"/>
        <v>#N/A</v>
      </c>
      <c r="J271" s="14">
        <v>0.5</v>
      </c>
      <c r="K271" s="14" t="e">
        <f t="shared" si="12"/>
        <v>#N/A</v>
      </c>
      <c r="L271" s="14">
        <v>0.4</v>
      </c>
      <c r="N271" s="4"/>
      <c r="O271" s="4"/>
      <c r="P271" s="5"/>
      <c r="Q271" s="1"/>
      <c r="R271" s="2"/>
      <c r="S271" s="2"/>
      <c r="T271" s="1"/>
      <c r="U271" s="2"/>
      <c r="V271" s="2"/>
      <c r="W271" s="2"/>
    </row>
    <row r="272" spans="1:23">
      <c r="A272" s="13">
        <v>27</v>
      </c>
      <c r="B272" s="13">
        <f t="shared" si="0"/>
        <v>0</v>
      </c>
      <c r="C272" s="13" t="str">
        <f>IF(B272&gt;=$S$2, A272, "")</f>
        <v/>
      </c>
      <c r="D272" s="13" t="str">
        <f>IF(AND(B272=1, B272&gt;=$S$2), A272, "")</f>
        <v/>
      </c>
      <c r="E272" s="13">
        <f>IF(B272&gt;=$S$2, B272, 0)</f>
        <v>0</v>
      </c>
      <c r="F272" s="13">
        <f t="shared" si="1"/>
        <v>0</v>
      </c>
      <c r="G272" s="13">
        <f t="shared" si="2"/>
        <v>0</v>
      </c>
      <c r="H272" s="13" t="str">
        <f>IF(B272&gt;=$T$2, A272, "")</f>
        <v/>
      </c>
      <c r="I272" s="14" t="e">
        <f t="shared" si="11"/>
        <v>#N/A</v>
      </c>
      <c r="J272" s="14">
        <v>0.5</v>
      </c>
      <c r="K272" s="14" t="e">
        <f t="shared" si="12"/>
        <v>#N/A</v>
      </c>
      <c r="L272" s="14">
        <v>0.4</v>
      </c>
      <c r="N272" s="4"/>
      <c r="O272" s="4"/>
      <c r="P272" s="5"/>
      <c r="Q272" s="1"/>
      <c r="R272" s="2"/>
      <c r="S272" s="2"/>
      <c r="T272" s="1"/>
      <c r="U272" s="2"/>
      <c r="V272" s="2"/>
      <c r="W272" s="2"/>
    </row>
    <row r="273" spans="1:23">
      <c r="A273" s="13">
        <v>27.1</v>
      </c>
      <c r="B273" s="13">
        <f t="shared" si="0"/>
        <v>0</v>
      </c>
      <c r="C273" s="13" t="str">
        <f>IF(B273&gt;=$S$2, A273, "")</f>
        <v/>
      </c>
      <c r="D273" s="13" t="str">
        <f>IF(AND(B273=1, B273&gt;=$S$2), A273, "")</f>
        <v/>
      </c>
      <c r="E273" s="13">
        <f>IF(B273&gt;=$S$2, B273, 0)</f>
        <v>0</v>
      </c>
      <c r="F273" s="13">
        <f t="shared" si="1"/>
        <v>0</v>
      </c>
      <c r="G273" s="13">
        <f t="shared" si="2"/>
        <v>0</v>
      </c>
      <c r="H273" s="13" t="str">
        <f>IF(B273&gt;=$T$2, A273, "")</f>
        <v/>
      </c>
      <c r="I273" s="14" t="e">
        <f t="shared" si="11"/>
        <v>#N/A</v>
      </c>
      <c r="J273" s="14">
        <v>0.5</v>
      </c>
      <c r="K273" s="14" t="e">
        <f t="shared" si="12"/>
        <v>#N/A</v>
      </c>
      <c r="L273" s="14">
        <v>0.4</v>
      </c>
      <c r="N273" s="4"/>
      <c r="O273" s="4"/>
      <c r="P273" s="5"/>
      <c r="Q273" s="1"/>
      <c r="R273" s="2"/>
      <c r="S273" s="2"/>
      <c r="T273" s="1"/>
      <c r="U273" s="2"/>
      <c r="V273" s="2"/>
      <c r="W273" s="2"/>
    </row>
    <row r="274" spans="1:23">
      <c r="A274" s="13">
        <v>27.2</v>
      </c>
      <c r="B274" s="13">
        <f t="shared" si="0"/>
        <v>0</v>
      </c>
      <c r="C274" s="13" t="str">
        <f>IF(B274&gt;=$S$2, A274, "")</f>
        <v/>
      </c>
      <c r="D274" s="13" t="str">
        <f>IF(AND(B274=1, B274&gt;=$S$2), A274, "")</f>
        <v/>
      </c>
      <c r="E274" s="13">
        <f>IF(B274&gt;=$S$2, B274, 0)</f>
        <v>0</v>
      </c>
      <c r="F274" s="13">
        <f t="shared" si="1"/>
        <v>0</v>
      </c>
      <c r="G274" s="13">
        <f t="shared" si="2"/>
        <v>0</v>
      </c>
      <c r="H274" s="13" t="str">
        <f>IF(B274&gt;=$T$2, A274, "")</f>
        <v/>
      </c>
      <c r="I274" s="14" t="e">
        <f t="shared" si="11"/>
        <v>#N/A</v>
      </c>
      <c r="J274" s="14">
        <v>0.5</v>
      </c>
      <c r="K274" s="14" t="e">
        <f t="shared" si="12"/>
        <v>#N/A</v>
      </c>
      <c r="L274" s="14">
        <v>0.4</v>
      </c>
      <c r="N274" s="4"/>
      <c r="O274" s="4"/>
      <c r="P274" s="5"/>
      <c r="Q274" s="1"/>
      <c r="R274" s="2"/>
      <c r="S274" s="2"/>
      <c r="T274" s="1"/>
      <c r="U274" s="2"/>
      <c r="V274" s="2"/>
      <c r="W274" s="2"/>
    </row>
    <row r="275" spans="1:23">
      <c r="A275" s="13">
        <v>27.3</v>
      </c>
      <c r="B275" s="13">
        <f t="shared" si="0"/>
        <v>0</v>
      </c>
      <c r="C275" s="13" t="str">
        <f>IF(B275&gt;=$S$2, A275, "")</f>
        <v/>
      </c>
      <c r="D275" s="13" t="str">
        <f>IF(AND(B275=1, B275&gt;=$S$2), A275, "")</f>
        <v/>
      </c>
      <c r="E275" s="13">
        <f>IF(B275&gt;=$S$2, B275, 0)</f>
        <v>0</v>
      </c>
      <c r="F275" s="13">
        <f t="shared" si="1"/>
        <v>0</v>
      </c>
      <c r="G275" s="13">
        <f t="shared" si="2"/>
        <v>0</v>
      </c>
      <c r="H275" s="13" t="str">
        <f>IF(B275&gt;=$T$2, A275, "")</f>
        <v/>
      </c>
      <c r="I275" s="14" t="e">
        <f t="shared" si="11"/>
        <v>#N/A</v>
      </c>
      <c r="J275" s="14">
        <v>0.5</v>
      </c>
      <c r="K275" s="14" t="e">
        <f t="shared" si="12"/>
        <v>#N/A</v>
      </c>
      <c r="L275" s="14">
        <v>0.4</v>
      </c>
      <c r="N275" s="4"/>
      <c r="O275" s="4"/>
      <c r="P275" s="5"/>
      <c r="Q275" s="1"/>
      <c r="R275" s="2"/>
      <c r="S275" s="2"/>
      <c r="T275" s="1"/>
      <c r="U275" s="2"/>
      <c r="V275" s="2"/>
      <c r="W275" s="2"/>
    </row>
    <row r="276" spans="1:23">
      <c r="A276" s="13">
        <v>27.4</v>
      </c>
      <c r="B276" s="13">
        <f t="shared" si="0"/>
        <v>0</v>
      </c>
      <c r="C276" s="13" t="str">
        <f>IF(B276&gt;=$S$2, A276, "")</f>
        <v/>
      </c>
      <c r="D276" s="13" t="str">
        <f>IF(AND(B276=1, B276&gt;=$S$2), A276, "")</f>
        <v/>
      </c>
      <c r="E276" s="13">
        <f>IF(B276&gt;=$S$2, B276, 0)</f>
        <v>0</v>
      </c>
      <c r="F276" s="13">
        <f t="shared" si="1"/>
        <v>0</v>
      </c>
      <c r="G276" s="13">
        <f t="shared" si="2"/>
        <v>0</v>
      </c>
      <c r="H276" s="13" t="str">
        <f>IF(B276&gt;=$T$2, A276, "")</f>
        <v/>
      </c>
      <c r="I276" s="14" t="e">
        <f t="shared" si="11"/>
        <v>#N/A</v>
      </c>
      <c r="J276" s="14">
        <v>0.5</v>
      </c>
      <c r="K276" s="14" t="e">
        <f t="shared" si="12"/>
        <v>#N/A</v>
      </c>
      <c r="L276" s="14">
        <v>0.4</v>
      </c>
      <c r="N276" s="4"/>
      <c r="O276" s="4"/>
      <c r="P276" s="5"/>
      <c r="Q276" s="1"/>
      <c r="R276" s="2"/>
      <c r="S276" s="2"/>
      <c r="T276" s="1"/>
      <c r="U276" s="2"/>
      <c r="V276" s="2"/>
      <c r="W276" s="2"/>
    </row>
    <row r="277" spans="1:23">
      <c r="A277" s="13">
        <v>27.5</v>
      </c>
      <c r="B277" s="13">
        <f t="shared" si="0"/>
        <v>0</v>
      </c>
      <c r="C277" s="13" t="str">
        <f>IF(B277&gt;=$S$2, A277, "")</f>
        <v/>
      </c>
      <c r="D277" s="13" t="str">
        <f>IF(AND(B277=1, B277&gt;=$S$2), A277, "")</f>
        <v/>
      </c>
      <c r="E277" s="13">
        <f>IF(B277&gt;=$S$2, B277, 0)</f>
        <v>0</v>
      </c>
      <c r="F277" s="13">
        <f t="shared" si="1"/>
        <v>0</v>
      </c>
      <c r="G277" s="13">
        <f t="shared" si="2"/>
        <v>0</v>
      </c>
      <c r="H277" s="13" t="str">
        <f>IF(B277&gt;=$T$2, A277, "")</f>
        <v/>
      </c>
      <c r="I277" s="14" t="e">
        <f t="shared" si="11"/>
        <v>#N/A</v>
      </c>
      <c r="J277" s="14">
        <v>0.5</v>
      </c>
      <c r="K277" s="14" t="e">
        <f t="shared" si="12"/>
        <v>#N/A</v>
      </c>
      <c r="L277" s="14">
        <v>0.4</v>
      </c>
      <c r="N277" s="4"/>
      <c r="O277" s="4"/>
      <c r="P277" s="5"/>
      <c r="Q277" s="1"/>
      <c r="R277" s="2"/>
      <c r="S277" s="2"/>
      <c r="T277" s="1"/>
      <c r="U277" s="2"/>
      <c r="V277" s="2"/>
      <c r="W277" s="2"/>
    </row>
    <row r="278" spans="1:23">
      <c r="A278" s="13">
        <v>27.6</v>
      </c>
      <c r="B278" s="13">
        <f t="shared" si="0"/>
        <v>0</v>
      </c>
      <c r="C278" s="13" t="str">
        <f>IF(B278&gt;=$S$2, A278, "")</f>
        <v/>
      </c>
      <c r="D278" s="13" t="str">
        <f>IF(AND(B278=1, B278&gt;=$S$2), A278, "")</f>
        <v/>
      </c>
      <c r="E278" s="13">
        <f>IF(B278&gt;=$S$2, B278, 0)</f>
        <v>0</v>
      </c>
      <c r="F278" s="13">
        <f t="shared" si="1"/>
        <v>0</v>
      </c>
      <c r="G278" s="13">
        <f t="shared" si="2"/>
        <v>0</v>
      </c>
      <c r="H278" s="13" t="str">
        <f>IF(B278&gt;=$T$2, A278, "")</f>
        <v/>
      </c>
      <c r="I278" s="14" t="e">
        <f t="shared" si="11"/>
        <v>#N/A</v>
      </c>
      <c r="J278" s="14">
        <v>0.5</v>
      </c>
      <c r="K278" s="14" t="e">
        <f t="shared" si="12"/>
        <v>#N/A</v>
      </c>
      <c r="L278" s="14">
        <v>0.4</v>
      </c>
      <c r="N278" s="4"/>
      <c r="O278" s="4"/>
      <c r="P278" s="5"/>
      <c r="Q278" s="1"/>
      <c r="R278" s="2"/>
      <c r="S278" s="2"/>
      <c r="T278" s="1"/>
      <c r="U278" s="2"/>
      <c r="V278" s="2"/>
      <c r="W278" s="2"/>
    </row>
    <row r="279" spans="1:23">
      <c r="A279" s="13">
        <v>27.7</v>
      </c>
      <c r="B279" s="13">
        <f t="shared" si="0"/>
        <v>0</v>
      </c>
      <c r="C279" s="13" t="str">
        <f>IF(B279&gt;=$S$2, A279, "")</f>
        <v/>
      </c>
      <c r="D279" s="13" t="str">
        <f>IF(AND(B279=1, B279&gt;=$S$2), A279, "")</f>
        <v/>
      </c>
      <c r="E279" s="13">
        <f>IF(B279&gt;=$S$2, B279, 0)</f>
        <v>0</v>
      </c>
      <c r="F279" s="13">
        <f t="shared" si="1"/>
        <v>0</v>
      </c>
      <c r="G279" s="13">
        <f t="shared" si="2"/>
        <v>0</v>
      </c>
      <c r="H279" s="13" t="str">
        <f>IF(B279&gt;=$T$2, A279, "")</f>
        <v/>
      </c>
      <c r="I279" s="14" t="e">
        <f t="shared" si="11"/>
        <v>#N/A</v>
      </c>
      <c r="J279" s="14">
        <v>0.5</v>
      </c>
      <c r="K279" s="14" t="e">
        <f t="shared" si="12"/>
        <v>#N/A</v>
      </c>
      <c r="L279" s="14">
        <v>0.4</v>
      </c>
      <c r="N279" s="4"/>
      <c r="O279" s="4"/>
      <c r="P279" s="5"/>
      <c r="Q279" s="1"/>
      <c r="R279" s="2"/>
      <c r="S279" s="2"/>
      <c r="T279" s="1"/>
      <c r="U279" s="2"/>
      <c r="V279" s="2"/>
      <c r="W279" s="2"/>
    </row>
    <row r="280" spans="1:23">
      <c r="A280" s="13">
        <v>27.8</v>
      </c>
      <c r="B280" s="13">
        <f t="shared" si="0"/>
        <v>0</v>
      </c>
      <c r="C280" s="13" t="str">
        <f>IF(B280&gt;=$S$2, A280, "")</f>
        <v/>
      </c>
      <c r="D280" s="13" t="str">
        <f>IF(AND(B280=1, B280&gt;=$S$2), A280, "")</f>
        <v/>
      </c>
      <c r="E280" s="13">
        <f>IF(B280&gt;=$S$2, B280, 0)</f>
        <v>0</v>
      </c>
      <c r="F280" s="13">
        <f t="shared" si="1"/>
        <v>0</v>
      </c>
      <c r="G280" s="13">
        <f t="shared" si="2"/>
        <v>0</v>
      </c>
      <c r="H280" s="13" t="str">
        <f>IF(B280&gt;=$T$2, A280, "")</f>
        <v/>
      </c>
      <c r="I280" s="14" t="e">
        <f t="shared" si="11"/>
        <v>#N/A</v>
      </c>
      <c r="J280" s="14">
        <v>0.5</v>
      </c>
      <c r="K280" s="14" t="e">
        <f t="shared" si="12"/>
        <v>#N/A</v>
      </c>
      <c r="L280" s="14">
        <v>0.4</v>
      </c>
      <c r="N280" s="4"/>
      <c r="O280" s="4"/>
      <c r="P280" s="5"/>
      <c r="Q280" s="1"/>
      <c r="R280" s="2"/>
      <c r="S280" s="2"/>
      <c r="T280" s="1"/>
      <c r="U280" s="2"/>
      <c r="V280" s="2"/>
      <c r="W280" s="2"/>
    </row>
    <row r="281" spans="1:23">
      <c r="A281" s="13">
        <v>27.9</v>
      </c>
      <c r="B281" s="13">
        <f t="shared" si="0"/>
        <v>0</v>
      </c>
      <c r="C281" s="13" t="str">
        <f>IF(B281&gt;=$S$2, A281, "")</f>
        <v/>
      </c>
      <c r="D281" s="13" t="str">
        <f>IF(AND(B281=1, B281&gt;=$S$2), A281, "")</f>
        <v/>
      </c>
      <c r="E281" s="13">
        <f>IF(B281&gt;=$S$2, B281, 0)</f>
        <v>0</v>
      </c>
      <c r="F281" s="13">
        <f t="shared" si="1"/>
        <v>0</v>
      </c>
      <c r="G281" s="13">
        <f t="shared" si="2"/>
        <v>0</v>
      </c>
      <c r="H281" s="13" t="str">
        <f>IF(B281&gt;=$T$2, A281, "")</f>
        <v/>
      </c>
      <c r="I281" s="14" t="e">
        <f t="shared" si="11"/>
        <v>#N/A</v>
      </c>
      <c r="J281" s="14">
        <v>0.5</v>
      </c>
      <c r="K281" s="14" t="e">
        <f t="shared" si="12"/>
        <v>#N/A</v>
      </c>
      <c r="L281" s="14">
        <v>0.4</v>
      </c>
      <c r="N281" s="4"/>
      <c r="O281" s="4"/>
      <c r="P281" s="5"/>
      <c r="Q281" s="1"/>
      <c r="R281" s="2"/>
      <c r="S281" s="2"/>
      <c r="T281" s="1"/>
      <c r="U281" s="2"/>
      <c r="V281" s="2"/>
      <c r="W281" s="2"/>
    </row>
    <row r="282" spans="1:23">
      <c r="A282" s="13">
        <v>28</v>
      </c>
      <c r="B282" s="13">
        <f t="shared" si="0"/>
        <v>0</v>
      </c>
      <c r="C282" s="13" t="str">
        <f>IF(B282&gt;=$S$2, A282, "")</f>
        <v/>
      </c>
      <c r="D282" s="13" t="str">
        <f>IF(AND(B282=1, B282&gt;=$S$2), A282, "")</f>
        <v/>
      </c>
      <c r="E282" s="13">
        <f>IF(B282&gt;=$S$2, B282, 0)</f>
        <v>0</v>
      </c>
      <c r="F282" s="13">
        <f t="shared" si="1"/>
        <v>0</v>
      </c>
      <c r="G282" s="13">
        <f t="shared" si="2"/>
        <v>0</v>
      </c>
      <c r="H282" s="13" t="str">
        <f>IF(B282&gt;=$T$2, A282, "")</f>
        <v/>
      </c>
      <c r="I282" s="14" t="e">
        <f t="shared" si="11"/>
        <v>#N/A</v>
      </c>
      <c r="J282" s="14">
        <v>0.5</v>
      </c>
      <c r="K282" s="14" t="e">
        <f t="shared" si="12"/>
        <v>#N/A</v>
      </c>
      <c r="L282" s="14">
        <v>0.4</v>
      </c>
      <c r="N282" s="4"/>
      <c r="O282" s="4"/>
      <c r="P282" s="5"/>
      <c r="Q282" s="1"/>
      <c r="R282" s="2"/>
      <c r="S282" s="2"/>
      <c r="T282" s="1"/>
      <c r="U282" s="2"/>
      <c r="V282" s="2"/>
      <c r="W282" s="2"/>
    </row>
    <row r="283" spans="1:23">
      <c r="A283" s="13">
        <v>28.1</v>
      </c>
      <c r="B283" s="13">
        <f t="shared" si="0"/>
        <v>0</v>
      </c>
      <c r="C283" s="13" t="str">
        <f>IF(B283&gt;=$S$2, A283, "")</f>
        <v/>
      </c>
      <c r="D283" s="13" t="str">
        <f>IF(AND(B283=1, B283&gt;=$S$2), A283, "")</f>
        <v/>
      </c>
      <c r="E283" s="13">
        <f>IF(B283&gt;=$S$2, B283, 0)</f>
        <v>0</v>
      </c>
      <c r="F283" s="13">
        <f t="shared" si="1"/>
        <v>0</v>
      </c>
      <c r="G283" s="13">
        <f t="shared" si="2"/>
        <v>0</v>
      </c>
      <c r="H283" s="13" t="str">
        <f>IF(B283&gt;=$T$2, A283, "")</f>
        <v/>
      </c>
      <c r="I283" s="14" t="e">
        <f t="shared" si="11"/>
        <v>#N/A</v>
      </c>
      <c r="J283" s="14">
        <v>0.5</v>
      </c>
      <c r="K283" s="14" t="e">
        <f t="shared" si="12"/>
        <v>#N/A</v>
      </c>
      <c r="L283" s="14">
        <v>0.4</v>
      </c>
      <c r="N283" s="4"/>
      <c r="O283" s="4"/>
      <c r="P283" s="5"/>
      <c r="Q283" s="1"/>
      <c r="R283" s="2"/>
      <c r="S283" s="2"/>
      <c r="T283" s="1"/>
      <c r="U283" s="2"/>
      <c r="V283" s="2"/>
      <c r="W283" s="2"/>
    </row>
    <row r="284" spans="1:23">
      <c r="A284" s="13">
        <v>28.2</v>
      </c>
      <c r="B284" s="13">
        <f t="shared" si="0"/>
        <v>0</v>
      </c>
      <c r="C284" s="13" t="str">
        <f>IF(B284&gt;=$S$2, A284, "")</f>
        <v/>
      </c>
      <c r="D284" s="13" t="str">
        <f>IF(AND(B284=1, B284&gt;=$S$2), A284, "")</f>
        <v/>
      </c>
      <c r="E284" s="13">
        <f>IF(B284&gt;=$S$2, B284, 0)</f>
        <v>0</v>
      </c>
      <c r="F284" s="13">
        <f t="shared" si="1"/>
        <v>0</v>
      </c>
      <c r="G284" s="13">
        <f t="shared" si="2"/>
        <v>0</v>
      </c>
      <c r="H284" s="13" t="str">
        <f>IF(B284&gt;=$T$2, A284, "")</f>
        <v/>
      </c>
      <c r="I284" s="14" t="e">
        <f t="shared" si="11"/>
        <v>#N/A</v>
      </c>
      <c r="J284" s="14">
        <v>0.5</v>
      </c>
      <c r="K284" s="14" t="e">
        <f t="shared" si="12"/>
        <v>#N/A</v>
      </c>
      <c r="L284" s="14">
        <v>0.4</v>
      </c>
      <c r="N284" s="4"/>
      <c r="O284" s="4"/>
      <c r="P284" s="5"/>
      <c r="Q284" s="1"/>
      <c r="R284" s="2"/>
      <c r="S284" s="2"/>
      <c r="T284" s="1"/>
      <c r="U284" s="2"/>
      <c r="V284" s="2"/>
      <c r="W284" s="2"/>
    </row>
    <row r="285" spans="1:23">
      <c r="A285" s="13">
        <v>28.3</v>
      </c>
      <c r="B285" s="13">
        <f t="shared" si="0"/>
        <v>0</v>
      </c>
      <c r="C285" s="13" t="str">
        <f>IF(B285&gt;=$S$2, A285, "")</f>
        <v/>
      </c>
      <c r="D285" s="13" t="str">
        <f>IF(AND(B285=1, B285&gt;=$S$2), A285, "")</f>
        <v/>
      </c>
      <c r="E285" s="13">
        <f>IF(B285&gt;=$S$2, B285, 0)</f>
        <v>0</v>
      </c>
      <c r="F285" s="13">
        <f t="shared" si="1"/>
        <v>0</v>
      </c>
      <c r="G285" s="13">
        <f t="shared" si="2"/>
        <v>0</v>
      </c>
      <c r="H285" s="13" t="str">
        <f>IF(B285&gt;=$T$2, A285, "")</f>
        <v/>
      </c>
      <c r="I285" s="14" t="e">
        <f t="shared" si="11"/>
        <v>#N/A</v>
      </c>
      <c r="J285" s="14">
        <v>0.5</v>
      </c>
      <c r="K285" s="14" t="e">
        <f t="shared" si="12"/>
        <v>#N/A</v>
      </c>
      <c r="L285" s="14">
        <v>0.4</v>
      </c>
      <c r="N285" s="4"/>
      <c r="O285" s="4"/>
      <c r="P285" s="5"/>
      <c r="Q285" s="1"/>
      <c r="R285" s="2"/>
      <c r="S285" s="2"/>
      <c r="T285" s="1"/>
      <c r="U285" s="2"/>
      <c r="V285" s="2"/>
      <c r="W285" s="2"/>
    </row>
    <row r="286" spans="1:23">
      <c r="A286" s="13">
        <v>28.4</v>
      </c>
      <c r="B286" s="13">
        <f t="shared" si="0"/>
        <v>0</v>
      </c>
      <c r="C286" s="13" t="str">
        <f>IF(B286&gt;=$S$2, A286, "")</f>
        <v/>
      </c>
      <c r="D286" s="13" t="str">
        <f>IF(AND(B286=1, B286&gt;=$S$2), A286, "")</f>
        <v/>
      </c>
      <c r="E286" s="13">
        <f>IF(B286&gt;=$S$2, B286, 0)</f>
        <v>0</v>
      </c>
      <c r="F286" s="13">
        <f t="shared" si="1"/>
        <v>0</v>
      </c>
      <c r="G286" s="13">
        <f t="shared" si="2"/>
        <v>0</v>
      </c>
      <c r="H286" s="13" t="str">
        <f>IF(B286&gt;=$T$2, A286, "")</f>
        <v/>
      </c>
      <c r="I286" s="14" t="e">
        <f t="shared" si="11"/>
        <v>#N/A</v>
      </c>
      <c r="J286" s="14">
        <v>0.5</v>
      </c>
      <c r="K286" s="14" t="e">
        <f t="shared" si="12"/>
        <v>#N/A</v>
      </c>
      <c r="L286" s="14">
        <v>0.4</v>
      </c>
      <c r="N286" s="4"/>
      <c r="O286" s="4"/>
      <c r="P286" s="5"/>
      <c r="Q286" s="1"/>
      <c r="R286" s="2"/>
      <c r="S286" s="2"/>
      <c r="T286" s="1"/>
      <c r="U286" s="2"/>
      <c r="V286" s="2"/>
      <c r="W286" s="2"/>
    </row>
    <row r="287" spans="1:23">
      <c r="A287" s="13">
        <v>28.5</v>
      </c>
      <c r="B287" s="13">
        <f t="shared" si="0"/>
        <v>1.3387571719134286E-2</v>
      </c>
      <c r="C287" s="13" t="str">
        <f>IF(B287&gt;=$S$2, A287, "")</f>
        <v/>
      </c>
      <c r="D287" s="13" t="str">
        <f>IF(AND(B287=1, B287&gt;=$S$2), A287, "")</f>
        <v/>
      </c>
      <c r="E287" s="13">
        <f>IF(B287&gt;=$S$2, B287, 0)</f>
        <v>0</v>
      </c>
      <c r="F287" s="13">
        <f t="shared" si="1"/>
        <v>0</v>
      </c>
      <c r="G287" s="13">
        <f t="shared" si="2"/>
        <v>0</v>
      </c>
      <c r="H287" s="13" t="str">
        <f>IF(B287&gt;=$T$2, A287, "")</f>
        <v/>
      </c>
      <c r="I287" s="14" t="e">
        <f t="shared" si="11"/>
        <v>#N/A</v>
      </c>
      <c r="J287" s="14">
        <v>0.5</v>
      </c>
      <c r="K287" s="14" t="e">
        <f t="shared" si="12"/>
        <v>#N/A</v>
      </c>
      <c r="L287" s="14">
        <v>0.4</v>
      </c>
      <c r="N287" s="4"/>
      <c r="O287" s="4"/>
      <c r="P287" s="5"/>
      <c r="Q287" s="1"/>
      <c r="R287" s="2"/>
      <c r="S287" s="2"/>
      <c r="T287" s="1"/>
      <c r="U287" s="2"/>
      <c r="V287" s="2"/>
      <c r="W287" s="2"/>
    </row>
    <row r="288" spans="1:23">
      <c r="A288" s="13">
        <v>28.6</v>
      </c>
      <c r="B288" s="13">
        <f t="shared" si="0"/>
        <v>2.8566224461917054E-2</v>
      </c>
      <c r="C288" s="13" t="str">
        <f>IF(B288&gt;=$S$2, A288, "")</f>
        <v/>
      </c>
      <c r="D288" s="13" t="str">
        <f>IF(AND(B288=1, B288&gt;=$S$2), A288, "")</f>
        <v/>
      </c>
      <c r="E288" s="13">
        <f>IF(B288&gt;=$S$2, B288, 0)</f>
        <v>0</v>
      </c>
      <c r="F288" s="13">
        <f t="shared" si="1"/>
        <v>0</v>
      </c>
      <c r="G288" s="13">
        <f t="shared" si="2"/>
        <v>0</v>
      </c>
      <c r="H288" s="13" t="str">
        <f>IF(B288&gt;=$T$2, A288, "")</f>
        <v/>
      </c>
      <c r="I288" s="14" t="e">
        <f t="shared" si="11"/>
        <v>#N/A</v>
      </c>
      <c r="J288" s="14">
        <v>0.5</v>
      </c>
      <c r="K288" s="14" t="e">
        <f t="shared" si="12"/>
        <v>#N/A</v>
      </c>
      <c r="L288" s="14">
        <v>0.4</v>
      </c>
      <c r="N288" s="4"/>
      <c r="O288" s="4"/>
      <c r="P288" s="5"/>
      <c r="Q288" s="1"/>
      <c r="R288" s="2"/>
      <c r="S288" s="2"/>
      <c r="T288" s="1"/>
      <c r="U288" s="2"/>
      <c r="V288" s="2"/>
      <c r="W288" s="2"/>
    </row>
    <row r="289" spans="1:23">
      <c r="A289" s="13">
        <v>28.7</v>
      </c>
      <c r="B289" s="13">
        <f t="shared" si="0"/>
        <v>4.374487720469928E-2</v>
      </c>
      <c r="C289" s="13" t="str">
        <f>IF(B289&gt;=$S$2, A289, "")</f>
        <v/>
      </c>
      <c r="D289" s="13" t="str">
        <f>IF(AND(B289=1, B289&gt;=$S$2), A289, "")</f>
        <v/>
      </c>
      <c r="E289" s="13">
        <f>IF(B289&gt;=$S$2, B289, 0)</f>
        <v>0</v>
      </c>
      <c r="F289" s="13">
        <f t="shared" si="1"/>
        <v>0</v>
      </c>
      <c r="G289" s="13">
        <f t="shared" si="2"/>
        <v>0</v>
      </c>
      <c r="H289" s="13" t="str">
        <f>IF(B289&gt;=$T$2, A289, "")</f>
        <v/>
      </c>
      <c r="I289" s="14" t="e">
        <f t="shared" si="11"/>
        <v>#N/A</v>
      </c>
      <c r="J289" s="14">
        <v>0.5</v>
      </c>
      <c r="K289" s="14" t="e">
        <f t="shared" si="12"/>
        <v>#N/A</v>
      </c>
      <c r="L289" s="14">
        <v>0.4</v>
      </c>
      <c r="N289" s="4"/>
      <c r="O289" s="4"/>
      <c r="P289" s="5"/>
      <c r="Q289" s="1"/>
      <c r="R289" s="2"/>
      <c r="S289" s="2"/>
      <c r="T289" s="1"/>
      <c r="U289" s="2"/>
      <c r="V289" s="2"/>
      <c r="W289" s="2"/>
    </row>
    <row r="290" spans="1:23">
      <c r="A290" s="13">
        <v>28.8</v>
      </c>
      <c r="B290" s="13">
        <f t="shared" si="0"/>
        <v>5.8923529947482046E-2</v>
      </c>
      <c r="C290" s="13" t="str">
        <f>IF(B290&gt;=$S$2, A290, "")</f>
        <v/>
      </c>
      <c r="D290" s="13" t="str">
        <f>IF(AND(B290=1, B290&gt;=$S$2), A290, "")</f>
        <v/>
      </c>
      <c r="E290" s="13">
        <f>IF(B290&gt;=$S$2, B290, 0)</f>
        <v>0</v>
      </c>
      <c r="F290" s="13">
        <f t="shared" si="1"/>
        <v>0</v>
      </c>
      <c r="G290" s="13">
        <f t="shared" si="2"/>
        <v>0</v>
      </c>
      <c r="H290" s="13" t="str">
        <f>IF(B290&gt;=$T$2, A290, "")</f>
        <v/>
      </c>
      <c r="I290" s="14" t="e">
        <f t="shared" si="11"/>
        <v>#N/A</v>
      </c>
      <c r="J290" s="14">
        <v>0.5</v>
      </c>
      <c r="K290" s="14" t="e">
        <f t="shared" si="12"/>
        <v>#N/A</v>
      </c>
      <c r="L290" s="14">
        <v>0.4</v>
      </c>
      <c r="N290" s="4"/>
      <c r="O290" s="4"/>
      <c r="P290" s="5"/>
      <c r="Q290" s="1"/>
      <c r="R290" s="2"/>
      <c r="S290" s="2"/>
      <c r="T290" s="1"/>
      <c r="U290" s="2"/>
      <c r="V290" s="2"/>
      <c r="W290" s="2"/>
    </row>
    <row r="291" spans="1:23">
      <c r="A291" s="13">
        <v>28.9</v>
      </c>
      <c r="B291" s="13">
        <f t="shared" si="0"/>
        <v>7.4102182690264279E-2</v>
      </c>
      <c r="C291" s="13" t="str">
        <f>IF(B291&gt;=$S$2, A291, "")</f>
        <v/>
      </c>
      <c r="D291" s="13" t="str">
        <f>IF(AND(B291=1, B291&gt;=$S$2), A291, "")</f>
        <v/>
      </c>
      <c r="E291" s="13">
        <f>IF(B291&gt;=$S$2, B291, 0)</f>
        <v>0</v>
      </c>
      <c r="F291" s="13">
        <f t="shared" si="1"/>
        <v>0</v>
      </c>
      <c r="G291" s="13">
        <f t="shared" si="2"/>
        <v>0</v>
      </c>
      <c r="H291" s="13" t="str">
        <f>IF(B291&gt;=$T$2, A291, "")</f>
        <v/>
      </c>
      <c r="I291" s="14" t="e">
        <f t="shared" si="11"/>
        <v>#N/A</v>
      </c>
      <c r="J291" s="14">
        <v>0.5</v>
      </c>
      <c r="K291" s="14" t="e">
        <f t="shared" si="12"/>
        <v>#N/A</v>
      </c>
      <c r="L291" s="14">
        <v>0.4</v>
      </c>
      <c r="N291" s="4"/>
      <c r="O291" s="4"/>
      <c r="P291" s="5"/>
      <c r="Q291" s="1"/>
      <c r="R291" s="2"/>
      <c r="S291" s="2"/>
      <c r="T291" s="1"/>
      <c r="U291" s="2"/>
      <c r="V291" s="2"/>
      <c r="W291" s="2"/>
    </row>
    <row r="292" spans="1:23">
      <c r="A292" s="13">
        <v>29</v>
      </c>
      <c r="B292" s="13">
        <f t="shared" si="0"/>
        <v>8.9280835433047046E-2</v>
      </c>
      <c r="C292" s="13" t="str">
        <f>IF(B292&gt;=$S$2, A292, "")</f>
        <v/>
      </c>
      <c r="D292" s="13" t="str">
        <f>IF(AND(B292=1, B292&gt;=$S$2), A292, "")</f>
        <v/>
      </c>
      <c r="E292" s="13">
        <f>IF(B292&gt;=$S$2, B292, 0)</f>
        <v>0</v>
      </c>
      <c r="F292" s="13">
        <f t="shared" si="1"/>
        <v>0</v>
      </c>
      <c r="G292" s="13">
        <f t="shared" si="2"/>
        <v>0</v>
      </c>
      <c r="H292" s="13" t="str">
        <f>IF(B292&gt;=$T$2, A292, "")</f>
        <v/>
      </c>
      <c r="I292" s="14" t="e">
        <f t="shared" si="11"/>
        <v>#N/A</v>
      </c>
      <c r="J292" s="14">
        <v>0.5</v>
      </c>
      <c r="K292" s="14" t="e">
        <f t="shared" si="12"/>
        <v>#N/A</v>
      </c>
      <c r="L292" s="14">
        <v>0.4</v>
      </c>
      <c r="N292" s="4"/>
      <c r="O292" s="4"/>
      <c r="P292" s="5"/>
      <c r="Q292" s="1"/>
      <c r="R292" s="2"/>
      <c r="S292" s="2"/>
      <c r="T292" s="1"/>
      <c r="U292" s="2"/>
      <c r="V292" s="2"/>
      <c r="W292" s="2"/>
    </row>
    <row r="293" spans="1:23">
      <c r="A293" s="13">
        <v>29.1</v>
      </c>
      <c r="B293" s="13">
        <f t="shared" si="0"/>
        <v>0.10445948817582981</v>
      </c>
      <c r="C293" s="13" t="str">
        <f>IF(B293&gt;=$S$2, A293, "")</f>
        <v/>
      </c>
      <c r="D293" s="13" t="str">
        <f>IF(AND(B293=1, B293&gt;=$S$2), A293, "")</f>
        <v/>
      </c>
      <c r="E293" s="13">
        <f>IF(B293&gt;=$S$2, B293, 0)</f>
        <v>0</v>
      </c>
      <c r="F293" s="13">
        <f t="shared" si="1"/>
        <v>0</v>
      </c>
      <c r="G293" s="13">
        <f t="shared" si="2"/>
        <v>0</v>
      </c>
      <c r="H293" s="13" t="str">
        <f>IF(B293&gt;=$T$2, A293, "")</f>
        <v/>
      </c>
      <c r="I293" s="14" t="e">
        <f t="shared" si="11"/>
        <v>#N/A</v>
      </c>
      <c r="J293" s="14">
        <v>0.5</v>
      </c>
      <c r="K293" s="14" t="e">
        <f t="shared" si="12"/>
        <v>#N/A</v>
      </c>
      <c r="L293" s="14">
        <v>0.4</v>
      </c>
      <c r="N293" s="4"/>
      <c r="O293" s="4"/>
      <c r="P293" s="5"/>
      <c r="Q293" s="1"/>
      <c r="R293" s="2"/>
      <c r="S293" s="2"/>
      <c r="T293" s="1"/>
      <c r="U293" s="2"/>
      <c r="V293" s="2"/>
      <c r="W293" s="2"/>
    </row>
    <row r="294" spans="1:23">
      <c r="A294" s="13">
        <v>29.2</v>
      </c>
      <c r="B294" s="13">
        <f t="shared" si="0"/>
        <v>0.11963814091861204</v>
      </c>
      <c r="C294" s="13" t="str">
        <f>IF(B294&gt;=$S$2, A294, "")</f>
        <v/>
      </c>
      <c r="D294" s="13" t="str">
        <f>IF(AND(B294=1, B294&gt;=$S$2), A294, "")</f>
        <v/>
      </c>
      <c r="E294" s="13">
        <f>IF(B294&gt;=$S$2, B294, 0)</f>
        <v>0</v>
      </c>
      <c r="F294" s="13">
        <f t="shared" si="1"/>
        <v>0</v>
      </c>
      <c r="G294" s="13">
        <f t="shared" si="2"/>
        <v>0</v>
      </c>
      <c r="H294" s="13" t="str">
        <f>IF(B294&gt;=$T$2, A294, "")</f>
        <v/>
      </c>
      <c r="I294" s="14" t="e">
        <f t="shared" si="11"/>
        <v>#N/A</v>
      </c>
      <c r="J294" s="14">
        <v>0.5</v>
      </c>
      <c r="K294" s="14" t="e">
        <f t="shared" si="12"/>
        <v>#N/A</v>
      </c>
      <c r="L294" s="14">
        <v>0.4</v>
      </c>
      <c r="N294" s="4"/>
      <c r="O294" s="4"/>
      <c r="P294" s="5"/>
      <c r="Q294" s="1"/>
      <c r="R294" s="2"/>
      <c r="S294" s="2"/>
      <c r="T294" s="1"/>
      <c r="U294" s="2"/>
      <c r="V294" s="2"/>
      <c r="W294" s="2"/>
    </row>
    <row r="295" spans="1:23">
      <c r="A295" s="13">
        <v>29.3</v>
      </c>
      <c r="B295" s="13">
        <f t="shared" si="0"/>
        <v>0.13481679366139482</v>
      </c>
      <c r="C295" s="13" t="str">
        <f>IF(B295&gt;=$S$2, A295, "")</f>
        <v/>
      </c>
      <c r="D295" s="13" t="str">
        <f>IF(AND(B295=1, B295&gt;=$S$2), A295, "")</f>
        <v/>
      </c>
      <c r="E295" s="13">
        <f>IF(B295&gt;=$S$2, B295, 0)</f>
        <v>0</v>
      </c>
      <c r="F295" s="13">
        <f t="shared" si="1"/>
        <v>0</v>
      </c>
      <c r="G295" s="13">
        <f t="shared" si="2"/>
        <v>0</v>
      </c>
      <c r="H295" s="13" t="str">
        <f>IF(B295&gt;=$T$2, A295, "")</f>
        <v/>
      </c>
      <c r="I295" s="14" t="e">
        <f t="shared" si="11"/>
        <v>#N/A</v>
      </c>
      <c r="J295" s="14">
        <v>0.5</v>
      </c>
      <c r="K295" s="14" t="e">
        <f t="shared" si="12"/>
        <v>#N/A</v>
      </c>
      <c r="L295" s="14">
        <v>0.4</v>
      </c>
      <c r="N295" s="4"/>
      <c r="O295" s="4"/>
      <c r="P295" s="5"/>
      <c r="Q295" s="1"/>
      <c r="R295" s="2"/>
      <c r="S295" s="2"/>
      <c r="T295" s="1"/>
      <c r="U295" s="2"/>
      <c r="V295" s="2"/>
      <c r="W295" s="2"/>
    </row>
    <row r="296" spans="1:23">
      <c r="A296" s="13">
        <v>29.4</v>
      </c>
      <c r="B296" s="13">
        <f t="shared" si="0"/>
        <v>0.14999544640417703</v>
      </c>
      <c r="C296" s="13" t="str">
        <f>IF(B296&gt;=$S$2, A296, "")</f>
        <v/>
      </c>
      <c r="D296" s="13" t="str">
        <f>IF(AND(B296=1, B296&gt;=$S$2), A296, "")</f>
        <v/>
      </c>
      <c r="E296" s="13">
        <f>IF(B296&gt;=$S$2, B296, 0)</f>
        <v>0</v>
      </c>
      <c r="F296" s="13">
        <f t="shared" si="1"/>
        <v>0</v>
      </c>
      <c r="G296" s="13">
        <f t="shared" si="2"/>
        <v>0</v>
      </c>
      <c r="H296" s="13" t="str">
        <f>IF(B296&gt;=$T$2, A296, "")</f>
        <v/>
      </c>
      <c r="I296" s="14" t="e">
        <f t="shared" si="11"/>
        <v>#N/A</v>
      </c>
      <c r="J296" s="14">
        <v>0.5</v>
      </c>
      <c r="K296" s="14" t="e">
        <f t="shared" si="12"/>
        <v>#N/A</v>
      </c>
      <c r="L296" s="14">
        <v>0.4</v>
      </c>
      <c r="N296" s="4"/>
      <c r="O296" s="4"/>
      <c r="P296" s="5"/>
      <c r="Q296" s="1"/>
      <c r="R296" s="2"/>
      <c r="S296" s="2"/>
      <c r="T296" s="1"/>
      <c r="U296" s="2"/>
      <c r="V296" s="2"/>
      <c r="W296" s="2"/>
    </row>
    <row r="297" spans="1:23">
      <c r="A297" s="13">
        <v>29.5</v>
      </c>
      <c r="B297" s="13">
        <f t="shared" si="0"/>
        <v>0.1651740991469598</v>
      </c>
      <c r="C297" s="13" t="str">
        <f>IF(B297&gt;=$S$2, A297, "")</f>
        <v/>
      </c>
      <c r="D297" s="13" t="str">
        <f>IF(AND(B297=1, B297&gt;=$S$2), A297, "")</f>
        <v/>
      </c>
      <c r="E297" s="13">
        <f>IF(B297&gt;=$S$2, B297, 0)</f>
        <v>0</v>
      </c>
      <c r="F297" s="13">
        <f t="shared" si="1"/>
        <v>0</v>
      </c>
      <c r="G297" s="13">
        <f t="shared" si="2"/>
        <v>0</v>
      </c>
      <c r="H297" s="13" t="str">
        <f>IF(B297&gt;=$T$2, A297, "")</f>
        <v/>
      </c>
      <c r="I297" s="14" t="e">
        <f t="shared" si="11"/>
        <v>#N/A</v>
      </c>
      <c r="J297" s="14">
        <v>0.5</v>
      </c>
      <c r="K297" s="14" t="e">
        <f t="shared" si="12"/>
        <v>#N/A</v>
      </c>
      <c r="L297" s="14">
        <v>0.4</v>
      </c>
      <c r="N297" s="4"/>
      <c r="O297" s="4"/>
      <c r="P297" s="5"/>
      <c r="Q297" s="1"/>
      <c r="R297" s="2"/>
      <c r="S297" s="2"/>
      <c r="T297" s="1"/>
      <c r="U297" s="2"/>
      <c r="V297" s="2"/>
      <c r="W297" s="2"/>
    </row>
    <row r="298" spans="1:23">
      <c r="A298" s="13">
        <v>29.6</v>
      </c>
      <c r="B298" s="13">
        <f t="shared" si="0"/>
        <v>0.18035275188974256</v>
      </c>
      <c r="C298" s="13" t="str">
        <f>IF(B298&gt;=$S$2, A298, "")</f>
        <v/>
      </c>
      <c r="D298" s="13" t="str">
        <f>IF(AND(B298=1, B298&gt;=$S$2), A298, "")</f>
        <v/>
      </c>
      <c r="E298" s="13">
        <f>IF(B298&gt;=$S$2, B298, 0)</f>
        <v>0</v>
      </c>
      <c r="F298" s="13">
        <f t="shared" si="1"/>
        <v>0</v>
      </c>
      <c r="G298" s="13">
        <f t="shared" si="2"/>
        <v>0</v>
      </c>
      <c r="H298" s="13" t="str">
        <f>IF(B298&gt;=$T$2, A298, "")</f>
        <v/>
      </c>
      <c r="I298" s="14" t="e">
        <f t="shared" si="11"/>
        <v>#N/A</v>
      </c>
      <c r="J298" s="14">
        <v>0.5</v>
      </c>
      <c r="K298" s="14" t="e">
        <f t="shared" si="12"/>
        <v>#N/A</v>
      </c>
      <c r="L298" s="14">
        <v>0.4</v>
      </c>
      <c r="N298" s="4"/>
      <c r="O298" s="4"/>
      <c r="P298" s="5"/>
      <c r="Q298" s="1"/>
      <c r="R298" s="2"/>
      <c r="S298" s="2"/>
      <c r="T298" s="1"/>
      <c r="U298" s="2"/>
      <c r="V298" s="2"/>
      <c r="W298" s="2"/>
    </row>
    <row r="299" spans="1:23">
      <c r="A299" s="13">
        <v>29.7</v>
      </c>
      <c r="B299" s="13">
        <f t="shared" si="0"/>
        <v>0.1955314046325248</v>
      </c>
      <c r="C299" s="13" t="str">
        <f>IF(B299&gt;=$S$2, A299, "")</f>
        <v/>
      </c>
      <c r="D299" s="13" t="str">
        <f>IF(AND(B299=1, B299&gt;=$S$2), A299, "")</f>
        <v/>
      </c>
      <c r="E299" s="13">
        <f>IF(B299&gt;=$S$2, B299, 0)</f>
        <v>0</v>
      </c>
      <c r="F299" s="13">
        <f t="shared" si="1"/>
        <v>0</v>
      </c>
      <c r="G299" s="13">
        <f t="shared" si="2"/>
        <v>0</v>
      </c>
      <c r="H299" s="13" t="str">
        <f>IF(B299&gt;=$T$2, A299, "")</f>
        <v/>
      </c>
      <c r="I299" s="14" t="e">
        <f t="shared" si="11"/>
        <v>#N/A</v>
      </c>
      <c r="J299" s="14">
        <v>0.5</v>
      </c>
      <c r="K299" s="14" t="e">
        <f t="shared" si="12"/>
        <v>#N/A</v>
      </c>
      <c r="L299" s="14">
        <v>0.4</v>
      </c>
      <c r="N299" s="4"/>
      <c r="O299" s="4"/>
      <c r="P299" s="5"/>
      <c r="Q299" s="1"/>
      <c r="R299" s="2"/>
      <c r="S299" s="2"/>
      <c r="T299" s="1"/>
      <c r="U299" s="2"/>
      <c r="V299" s="2"/>
      <c r="W299" s="2"/>
    </row>
    <row r="300" spans="1:23">
      <c r="A300" s="13">
        <v>29.8</v>
      </c>
      <c r="B300" s="13">
        <f t="shared" si="0"/>
        <v>0.21071005737530757</v>
      </c>
      <c r="C300" s="13" t="str">
        <f>IF(B300&gt;=$S$2, A300, "")</f>
        <v/>
      </c>
      <c r="D300" s="13" t="str">
        <f>IF(AND(B300=1, B300&gt;=$S$2), A300, "")</f>
        <v/>
      </c>
      <c r="E300" s="13">
        <f>IF(B300&gt;=$S$2, B300, 0)</f>
        <v>0</v>
      </c>
      <c r="F300" s="13">
        <f t="shared" si="1"/>
        <v>0</v>
      </c>
      <c r="G300" s="13">
        <f t="shared" si="2"/>
        <v>0</v>
      </c>
      <c r="H300" s="13" t="str">
        <f>IF(B300&gt;=$T$2, A300, "")</f>
        <v/>
      </c>
      <c r="I300" s="14" t="e">
        <f t="shared" si="11"/>
        <v>#N/A</v>
      </c>
      <c r="J300" s="14">
        <v>0.5</v>
      </c>
      <c r="K300" s="14" t="e">
        <f t="shared" si="12"/>
        <v>#N/A</v>
      </c>
      <c r="L300" s="14">
        <v>0.4</v>
      </c>
      <c r="N300" s="4"/>
      <c r="O300" s="4"/>
      <c r="P300" s="5"/>
      <c r="Q300" s="1"/>
      <c r="R300" s="2"/>
      <c r="S300" s="2"/>
      <c r="T300" s="1"/>
      <c r="U300" s="2"/>
      <c r="V300" s="2"/>
      <c r="W300" s="2"/>
    </row>
    <row r="301" spans="1:23">
      <c r="A301" s="13">
        <v>29.9</v>
      </c>
      <c r="B301" s="13">
        <f t="shared" si="0"/>
        <v>0.22588871011808978</v>
      </c>
      <c r="C301" s="13" t="str">
        <f>IF(B301&gt;=$S$2, A301, "")</f>
        <v/>
      </c>
      <c r="D301" s="13" t="str">
        <f>IF(AND(B301=1, B301&gt;=$S$2), A301, "")</f>
        <v/>
      </c>
      <c r="E301" s="13">
        <f>IF(B301&gt;=$S$2, B301, 0)</f>
        <v>0</v>
      </c>
      <c r="F301" s="13">
        <f t="shared" si="1"/>
        <v>0</v>
      </c>
      <c r="G301" s="13">
        <f t="shared" si="2"/>
        <v>0</v>
      </c>
      <c r="H301" s="13" t="str">
        <f>IF(B301&gt;=$T$2, A301, "")</f>
        <v/>
      </c>
      <c r="I301" s="14" t="e">
        <f t="shared" si="11"/>
        <v>#N/A</v>
      </c>
      <c r="J301" s="14">
        <v>0.5</v>
      </c>
      <c r="K301" s="14" t="e">
        <f t="shared" si="12"/>
        <v>#N/A</v>
      </c>
      <c r="L301" s="14">
        <v>0.4</v>
      </c>
      <c r="N301" s="4"/>
      <c r="O301" s="4"/>
      <c r="P301" s="5"/>
      <c r="Q301" s="1"/>
      <c r="R301" s="2"/>
      <c r="S301" s="2"/>
      <c r="T301" s="1"/>
      <c r="U301" s="2"/>
      <c r="V301" s="2"/>
      <c r="W301" s="2"/>
    </row>
    <row r="302" spans="1:23">
      <c r="A302" s="13">
        <v>30</v>
      </c>
      <c r="B302" s="13">
        <f t="shared" si="0"/>
        <v>0.24106736286087255</v>
      </c>
      <c r="C302" s="13" t="str">
        <f>IF(B302&gt;=$S$2, A302, "")</f>
        <v/>
      </c>
      <c r="D302" s="13" t="str">
        <f>IF(AND(B302=1, B302&gt;=$S$2), A302, "")</f>
        <v/>
      </c>
      <c r="E302" s="13">
        <f>IF(B302&gt;=$S$2, B302, 0)</f>
        <v>0</v>
      </c>
      <c r="F302" s="13">
        <f t="shared" si="1"/>
        <v>0</v>
      </c>
      <c r="G302" s="13">
        <f t="shared" si="2"/>
        <v>0</v>
      </c>
      <c r="H302" s="13" t="str">
        <f>IF(B302&gt;=$T$2, A302, "")</f>
        <v/>
      </c>
      <c r="I302" s="14" t="e">
        <f t="shared" si="11"/>
        <v>#N/A</v>
      </c>
      <c r="J302" s="14">
        <v>0.5</v>
      </c>
      <c r="K302" s="14" t="e">
        <f t="shared" si="12"/>
        <v>#N/A</v>
      </c>
      <c r="L302" s="14">
        <v>0.4</v>
      </c>
      <c r="N302" s="4"/>
      <c r="O302" s="4"/>
      <c r="P302" s="5"/>
      <c r="Q302" s="1"/>
      <c r="R302" s="2"/>
      <c r="S302" s="2"/>
      <c r="T302" s="1"/>
      <c r="U302" s="2"/>
      <c r="V302" s="2"/>
      <c r="W302" s="2"/>
    </row>
    <row r="303" spans="1:23">
      <c r="A303" s="13">
        <v>30.1</v>
      </c>
      <c r="B303" s="13">
        <f t="shared" si="0"/>
        <v>0.25624601560365534</v>
      </c>
      <c r="C303" s="13" t="str">
        <f>IF(B303&gt;=$S$2, A303, "")</f>
        <v/>
      </c>
      <c r="D303" s="13" t="str">
        <f>IF(AND(B303=1, B303&gt;=$S$2), A303, "")</f>
        <v/>
      </c>
      <c r="E303" s="13">
        <f>IF(B303&gt;=$S$2, B303, 0)</f>
        <v>0</v>
      </c>
      <c r="F303" s="13">
        <f t="shared" si="1"/>
        <v>0</v>
      </c>
      <c r="G303" s="13">
        <f t="shared" si="2"/>
        <v>0</v>
      </c>
      <c r="H303" s="13" t="str">
        <f>IF(B303&gt;=$T$2, A303, "")</f>
        <v/>
      </c>
      <c r="I303" s="14" t="e">
        <f t="shared" si="11"/>
        <v>#N/A</v>
      </c>
      <c r="J303" s="14">
        <v>0.5</v>
      </c>
      <c r="K303" s="14" t="e">
        <f t="shared" si="12"/>
        <v>#N/A</v>
      </c>
      <c r="L303" s="14">
        <v>0.4</v>
      </c>
      <c r="N303" s="4"/>
      <c r="O303" s="4"/>
      <c r="P303" s="5"/>
      <c r="Q303" s="1"/>
      <c r="R303" s="2"/>
      <c r="S303" s="2"/>
      <c r="T303" s="1"/>
      <c r="U303" s="2"/>
      <c r="V303" s="2"/>
      <c r="W303" s="2"/>
    </row>
    <row r="304" spans="1:23">
      <c r="A304" s="13">
        <v>30.2</v>
      </c>
      <c r="B304" s="13">
        <f t="shared" si="0"/>
        <v>0.27142466834643758</v>
      </c>
      <c r="C304" s="13" t="str">
        <f>IF(B304&gt;=$S$2, A304, "")</f>
        <v/>
      </c>
      <c r="D304" s="13" t="str">
        <f>IF(AND(B304=1, B304&gt;=$S$2), A304, "")</f>
        <v/>
      </c>
      <c r="E304" s="13">
        <f>IF(B304&gt;=$S$2, B304, 0)</f>
        <v>0</v>
      </c>
      <c r="F304" s="13">
        <f t="shared" si="1"/>
        <v>0</v>
      </c>
      <c r="G304" s="13">
        <f t="shared" si="2"/>
        <v>0</v>
      </c>
      <c r="H304" s="13" t="str">
        <f>IF(B304&gt;=$T$2, A304, "")</f>
        <v/>
      </c>
      <c r="I304" s="14" t="e">
        <f t="shared" si="11"/>
        <v>#N/A</v>
      </c>
      <c r="J304" s="14">
        <v>0.5</v>
      </c>
      <c r="K304" s="14" t="e">
        <f t="shared" si="12"/>
        <v>#N/A</v>
      </c>
      <c r="L304" s="14">
        <v>0.4</v>
      </c>
      <c r="N304" s="4"/>
      <c r="O304" s="4"/>
      <c r="P304" s="5"/>
      <c r="Q304" s="1"/>
      <c r="R304" s="2"/>
      <c r="S304" s="2"/>
      <c r="T304" s="1"/>
      <c r="U304" s="2"/>
      <c r="V304" s="2"/>
      <c r="W304" s="2"/>
    </row>
    <row r="305" spans="1:23">
      <c r="A305" s="13">
        <v>30.3</v>
      </c>
      <c r="B305" s="13">
        <f t="shared" si="0"/>
        <v>0.28660332108922032</v>
      </c>
      <c r="C305" s="13" t="str">
        <f>IF(B305&gt;=$S$2, A305, "")</f>
        <v/>
      </c>
      <c r="D305" s="13" t="str">
        <f>IF(AND(B305=1, B305&gt;=$S$2), A305, "")</f>
        <v/>
      </c>
      <c r="E305" s="13">
        <f>IF(B305&gt;=$S$2, B305, 0)</f>
        <v>0</v>
      </c>
      <c r="F305" s="13">
        <f t="shared" si="1"/>
        <v>0</v>
      </c>
      <c r="G305" s="13">
        <f t="shared" si="2"/>
        <v>0</v>
      </c>
      <c r="H305" s="13" t="str">
        <f>IF(B305&gt;=$T$2, A305, "")</f>
        <v/>
      </c>
      <c r="I305" s="14" t="e">
        <f t="shared" si="11"/>
        <v>#N/A</v>
      </c>
      <c r="J305" s="14">
        <v>0.5</v>
      </c>
      <c r="K305" s="14" t="e">
        <f t="shared" si="12"/>
        <v>#N/A</v>
      </c>
      <c r="L305" s="14">
        <v>0.4</v>
      </c>
      <c r="N305" s="4"/>
      <c r="O305" s="4"/>
      <c r="P305" s="5"/>
      <c r="Q305" s="1"/>
      <c r="R305" s="2"/>
      <c r="S305" s="2"/>
      <c r="T305" s="1"/>
      <c r="U305" s="2"/>
      <c r="V305" s="2"/>
      <c r="W305" s="2"/>
    </row>
    <row r="306" spans="1:23">
      <c r="A306" s="13">
        <v>30.4</v>
      </c>
      <c r="B306" s="13">
        <f t="shared" si="0"/>
        <v>0.30178197383200256</v>
      </c>
      <c r="C306" s="13" t="str">
        <f>IF(B306&gt;=$S$2, A306, "")</f>
        <v/>
      </c>
      <c r="D306" s="13" t="str">
        <f>IF(AND(B306=1, B306&gt;=$S$2), A306, "")</f>
        <v/>
      </c>
      <c r="E306" s="13">
        <f>IF(B306&gt;=$S$2, B306, 0)</f>
        <v>0</v>
      </c>
      <c r="F306" s="13">
        <f t="shared" si="1"/>
        <v>0</v>
      </c>
      <c r="G306" s="13">
        <f t="shared" si="2"/>
        <v>0</v>
      </c>
      <c r="H306" s="13" t="str">
        <f>IF(B306&gt;=$T$2, A306, "")</f>
        <v/>
      </c>
      <c r="I306" s="14" t="e">
        <f t="shared" si="11"/>
        <v>#N/A</v>
      </c>
      <c r="J306" s="14">
        <v>0.5</v>
      </c>
      <c r="K306" s="14" t="e">
        <f t="shared" si="12"/>
        <v>#N/A</v>
      </c>
      <c r="L306" s="14">
        <v>0.4</v>
      </c>
      <c r="N306" s="4"/>
      <c r="O306" s="4"/>
      <c r="P306" s="5"/>
      <c r="Q306" s="1"/>
      <c r="R306" s="2"/>
      <c r="S306" s="2"/>
      <c r="T306" s="1"/>
      <c r="U306" s="2"/>
      <c r="V306" s="2"/>
      <c r="W306" s="2"/>
    </row>
    <row r="307" spans="1:23">
      <c r="A307" s="13">
        <v>30.5</v>
      </c>
      <c r="B307" s="13">
        <f t="shared" si="0"/>
        <v>0.3169606265747853</v>
      </c>
      <c r="C307" s="13" t="str">
        <f>IF(B307&gt;=$S$2, A307, "")</f>
        <v/>
      </c>
      <c r="D307" s="13" t="str">
        <f>IF(AND(B307=1, B307&gt;=$S$2), A307, "")</f>
        <v/>
      </c>
      <c r="E307" s="13">
        <f>IF(B307&gt;=$S$2, B307, 0)</f>
        <v>0</v>
      </c>
      <c r="F307" s="13">
        <f t="shared" si="1"/>
        <v>0</v>
      </c>
      <c r="G307" s="13">
        <f t="shared" si="2"/>
        <v>0</v>
      </c>
      <c r="H307" s="13" t="str">
        <f>IF(B307&gt;=$T$2, A307, "")</f>
        <v/>
      </c>
      <c r="I307" s="14" t="e">
        <f t="shared" si="11"/>
        <v>#N/A</v>
      </c>
      <c r="J307" s="14">
        <v>0.5</v>
      </c>
      <c r="K307" s="14" t="e">
        <f t="shared" si="12"/>
        <v>#N/A</v>
      </c>
      <c r="L307" s="14">
        <v>0.4</v>
      </c>
      <c r="N307" s="4"/>
      <c r="O307" s="4"/>
      <c r="P307" s="5"/>
      <c r="Q307" s="1"/>
      <c r="R307" s="2"/>
      <c r="S307" s="2"/>
      <c r="T307" s="1"/>
      <c r="U307" s="2"/>
      <c r="V307" s="2"/>
      <c r="W307" s="2"/>
    </row>
    <row r="308" spans="1:23">
      <c r="A308" s="13">
        <v>30.6</v>
      </c>
      <c r="B308" s="13">
        <f t="shared" si="0"/>
        <v>0.33213927931756809</v>
      </c>
      <c r="C308" s="13" t="str">
        <f>IF(B308&gt;=$S$2, A308, "")</f>
        <v/>
      </c>
      <c r="D308" s="13" t="str">
        <f>IF(AND(B308=1, B308&gt;=$S$2), A308, "")</f>
        <v/>
      </c>
      <c r="E308" s="13">
        <f>IF(B308&gt;=$S$2, B308, 0)</f>
        <v>0</v>
      </c>
      <c r="F308" s="13">
        <f t="shared" si="1"/>
        <v>0</v>
      </c>
      <c r="G308" s="13">
        <f t="shared" si="2"/>
        <v>0</v>
      </c>
      <c r="H308" s="13" t="str">
        <f>IF(B308&gt;=$T$2, A308, "")</f>
        <v/>
      </c>
      <c r="I308" s="14" t="e">
        <f t="shared" si="11"/>
        <v>#N/A</v>
      </c>
      <c r="J308" s="14">
        <v>0.5</v>
      </c>
      <c r="K308" s="14" t="e">
        <f t="shared" si="12"/>
        <v>#N/A</v>
      </c>
      <c r="L308" s="14">
        <v>0.4</v>
      </c>
      <c r="N308" s="4"/>
      <c r="O308" s="4"/>
      <c r="P308" s="5"/>
      <c r="Q308" s="1"/>
      <c r="R308" s="2"/>
      <c r="S308" s="2"/>
      <c r="T308" s="1"/>
      <c r="U308" s="2"/>
      <c r="V308" s="2"/>
      <c r="W308" s="2"/>
    </row>
    <row r="309" spans="1:23">
      <c r="A309" s="13">
        <v>30.7</v>
      </c>
      <c r="B309" s="13">
        <f t="shared" si="0"/>
        <v>0.34731793206035033</v>
      </c>
      <c r="C309" s="13" t="str">
        <f>IF(B309&gt;=$S$2, A309, "")</f>
        <v/>
      </c>
      <c r="D309" s="13" t="str">
        <f>IF(AND(B309=1, B309&gt;=$S$2), A309, "")</f>
        <v/>
      </c>
      <c r="E309" s="13">
        <f>IF(B309&gt;=$S$2, B309, 0)</f>
        <v>0</v>
      </c>
      <c r="F309" s="13">
        <f t="shared" si="1"/>
        <v>0</v>
      </c>
      <c r="G309" s="13">
        <f t="shared" si="2"/>
        <v>0</v>
      </c>
      <c r="H309" s="13" t="str">
        <f>IF(B309&gt;=$T$2, A309, "")</f>
        <v/>
      </c>
      <c r="I309" s="14" t="e">
        <f t="shared" si="11"/>
        <v>#N/A</v>
      </c>
      <c r="J309" s="14">
        <v>0.5</v>
      </c>
      <c r="K309" s="14" t="e">
        <f t="shared" si="12"/>
        <v>#N/A</v>
      </c>
      <c r="L309" s="14">
        <v>0.4</v>
      </c>
      <c r="N309" s="4"/>
      <c r="O309" s="4"/>
      <c r="P309" s="5"/>
      <c r="Q309" s="1"/>
      <c r="R309" s="2"/>
      <c r="S309" s="2"/>
      <c r="T309" s="1"/>
      <c r="U309" s="2"/>
      <c r="V309" s="2"/>
      <c r="W309" s="2"/>
    </row>
    <row r="310" spans="1:23">
      <c r="A310" s="13">
        <v>30.8</v>
      </c>
      <c r="B310" s="13">
        <f t="shared" si="0"/>
        <v>0.36249658480313307</v>
      </c>
      <c r="C310" s="13" t="str">
        <f>IF(B310&gt;=$S$2, A310, "")</f>
        <v/>
      </c>
      <c r="D310" s="13" t="str">
        <f>IF(AND(B310=1, B310&gt;=$S$2), A310, "")</f>
        <v/>
      </c>
      <c r="E310" s="13">
        <f>IF(B310&gt;=$S$2, B310, 0)</f>
        <v>0</v>
      </c>
      <c r="F310" s="13">
        <f t="shared" si="1"/>
        <v>0</v>
      </c>
      <c r="G310" s="13">
        <f t="shared" si="2"/>
        <v>0</v>
      </c>
      <c r="H310" s="13" t="str">
        <f>IF(B310&gt;=$T$2, A310, "")</f>
        <v/>
      </c>
      <c r="I310" s="14" t="e">
        <f t="shared" si="11"/>
        <v>#N/A</v>
      </c>
      <c r="J310" s="14">
        <v>0.5</v>
      </c>
      <c r="K310" s="14" t="e">
        <f t="shared" si="12"/>
        <v>#N/A</v>
      </c>
      <c r="L310" s="14">
        <v>0.4</v>
      </c>
      <c r="N310" s="4"/>
      <c r="O310" s="4"/>
      <c r="P310" s="5"/>
      <c r="Q310" s="1"/>
      <c r="R310" s="2"/>
      <c r="S310" s="2"/>
      <c r="T310" s="1"/>
      <c r="U310" s="2"/>
      <c r="V310" s="2"/>
      <c r="W310" s="2"/>
    </row>
    <row r="311" spans="1:23">
      <c r="A311" s="13">
        <v>30.9</v>
      </c>
      <c r="B311" s="13">
        <f t="shared" si="0"/>
        <v>0.37767523754591531</v>
      </c>
      <c r="C311" s="13" t="str">
        <f>IF(B311&gt;=$S$2, A311, "")</f>
        <v/>
      </c>
      <c r="D311" s="13" t="str">
        <f>IF(AND(B311=1, B311&gt;=$S$2), A311, "")</f>
        <v/>
      </c>
      <c r="E311" s="13">
        <f>IF(B311&gt;=$S$2, B311, 0)</f>
        <v>0</v>
      </c>
      <c r="F311" s="13">
        <f t="shared" si="1"/>
        <v>0</v>
      </c>
      <c r="G311" s="13">
        <f t="shared" si="2"/>
        <v>0</v>
      </c>
      <c r="H311" s="13" t="str">
        <f>IF(B311&gt;=$T$2, A311, "")</f>
        <v/>
      </c>
      <c r="I311" s="14" t="e">
        <f t="shared" si="11"/>
        <v>#N/A</v>
      </c>
      <c r="J311" s="14">
        <v>0.5</v>
      </c>
      <c r="K311" s="14" t="e">
        <f t="shared" si="12"/>
        <v>#N/A</v>
      </c>
      <c r="L311" s="14">
        <v>0.4</v>
      </c>
      <c r="N311" s="4"/>
      <c r="O311" s="4"/>
      <c r="P311" s="5"/>
      <c r="Q311" s="1"/>
      <c r="R311" s="2"/>
      <c r="S311" s="2"/>
      <c r="T311" s="1"/>
      <c r="U311" s="2"/>
      <c r="V311" s="2"/>
      <c r="W311" s="2"/>
    </row>
    <row r="312" spans="1:23">
      <c r="A312" s="13">
        <v>31</v>
      </c>
      <c r="B312" s="13">
        <f t="shared" si="0"/>
        <v>0.39285389028869805</v>
      </c>
      <c r="C312" s="13" t="str">
        <f>IF(B312&gt;=$S$2, A312, "")</f>
        <v/>
      </c>
      <c r="D312" s="13" t="str">
        <f>IF(AND(B312=1, B312&gt;=$S$2), A312, "")</f>
        <v/>
      </c>
      <c r="E312" s="13">
        <f>IF(B312&gt;=$S$2, B312, 0)</f>
        <v>0</v>
      </c>
      <c r="F312" s="13">
        <f t="shared" si="1"/>
        <v>0</v>
      </c>
      <c r="G312" s="13">
        <f t="shared" si="2"/>
        <v>0</v>
      </c>
      <c r="H312" s="13" t="str">
        <f>IF(B312&gt;=$T$2, A312, "")</f>
        <v/>
      </c>
      <c r="I312" s="14" t="e">
        <f t="shared" si="11"/>
        <v>#N/A</v>
      </c>
      <c r="J312" s="14">
        <v>0.5</v>
      </c>
      <c r="K312" s="14" t="e">
        <f t="shared" si="12"/>
        <v>#N/A</v>
      </c>
      <c r="L312" s="14">
        <v>0.4</v>
      </c>
      <c r="N312" s="4"/>
      <c r="O312" s="4"/>
      <c r="P312" s="5"/>
      <c r="Q312" s="1"/>
      <c r="R312" s="2"/>
      <c r="S312" s="2"/>
      <c r="T312" s="1"/>
      <c r="U312" s="2"/>
      <c r="V312" s="2"/>
      <c r="W312" s="2"/>
    </row>
    <row r="313" spans="1:23">
      <c r="A313" s="13">
        <v>31.1</v>
      </c>
      <c r="B313" s="13">
        <f t="shared" si="0"/>
        <v>0.40803254303148084</v>
      </c>
      <c r="C313" s="13" t="str">
        <f>IF(B313&gt;=$S$2, A313, "")</f>
        <v/>
      </c>
      <c r="D313" s="13" t="str">
        <f>IF(AND(B313=1, B313&gt;=$S$2), A313, "")</f>
        <v/>
      </c>
      <c r="E313" s="13">
        <f>IF(B313&gt;=$S$2, B313, 0)</f>
        <v>0</v>
      </c>
      <c r="F313" s="13">
        <f t="shared" si="1"/>
        <v>0</v>
      </c>
      <c r="G313" s="13">
        <f t="shared" si="2"/>
        <v>0</v>
      </c>
      <c r="H313" s="13">
        <f>IF(B313&gt;=$T$2, A313, "")</f>
        <v>31.1</v>
      </c>
      <c r="I313" s="14" t="e">
        <f t="shared" si="11"/>
        <v>#N/A</v>
      </c>
      <c r="J313" s="14">
        <v>0.5</v>
      </c>
      <c r="K313" s="14">
        <f t="shared" si="12"/>
        <v>0.40803254303148084</v>
      </c>
      <c r="L313" s="14">
        <v>0.4</v>
      </c>
      <c r="N313" s="4"/>
      <c r="O313" s="4"/>
      <c r="P313" s="5"/>
      <c r="Q313" s="1"/>
      <c r="R313" s="2"/>
      <c r="S313" s="2"/>
      <c r="T313" s="1"/>
      <c r="U313" s="2"/>
      <c r="V313" s="2"/>
      <c r="W313" s="2"/>
    </row>
    <row r="314" spans="1:23">
      <c r="A314" s="13">
        <v>31.2</v>
      </c>
      <c r="B314" s="13">
        <f t="shared" si="0"/>
        <v>0.42321119577426308</v>
      </c>
      <c r="C314" s="13" t="str">
        <f>IF(B314&gt;=$S$2, A314, "")</f>
        <v/>
      </c>
      <c r="D314" s="13" t="str">
        <f>IF(AND(B314=1, B314&gt;=$S$2), A314, "")</f>
        <v/>
      </c>
      <c r="E314" s="13">
        <f>IF(B314&gt;=$S$2, B314, 0)</f>
        <v>0</v>
      </c>
      <c r="F314" s="13">
        <f t="shared" si="1"/>
        <v>0</v>
      </c>
      <c r="G314" s="13">
        <f t="shared" si="2"/>
        <v>0</v>
      </c>
      <c r="H314" s="13">
        <f>IF(B314&gt;=$T$2, A314, "")</f>
        <v>31.2</v>
      </c>
      <c r="I314" s="14" t="e">
        <f t="shared" si="11"/>
        <v>#N/A</v>
      </c>
      <c r="J314" s="14">
        <v>0.5</v>
      </c>
      <c r="K314" s="14">
        <f t="shared" si="12"/>
        <v>0.42321119577426308</v>
      </c>
      <c r="L314" s="14">
        <v>0.4</v>
      </c>
      <c r="N314" s="4"/>
      <c r="O314" s="4"/>
      <c r="P314" s="5"/>
      <c r="Q314" s="1"/>
      <c r="R314" s="2"/>
      <c r="S314" s="2"/>
      <c r="T314" s="1"/>
      <c r="U314" s="2"/>
      <c r="V314" s="2"/>
      <c r="W314" s="2"/>
    </row>
    <row r="315" spans="1:23">
      <c r="A315" s="13">
        <v>31.3</v>
      </c>
      <c r="B315" s="13">
        <f t="shared" si="0"/>
        <v>0.43838984851704582</v>
      </c>
      <c r="C315" s="13" t="str">
        <f>IF(B315&gt;=$S$2, A315, "")</f>
        <v/>
      </c>
      <c r="D315" s="13" t="str">
        <f>IF(AND(B315=1, B315&gt;=$S$2), A315, "")</f>
        <v/>
      </c>
      <c r="E315" s="13">
        <f>IF(B315&gt;=$S$2, B315, 0)</f>
        <v>0</v>
      </c>
      <c r="F315" s="13">
        <f t="shared" si="1"/>
        <v>0</v>
      </c>
      <c r="G315" s="13">
        <f t="shared" si="2"/>
        <v>0</v>
      </c>
      <c r="H315" s="13">
        <f>IF(B315&gt;=$T$2, A315, "")</f>
        <v>31.3</v>
      </c>
      <c r="I315" s="14" t="e">
        <f t="shared" si="11"/>
        <v>#N/A</v>
      </c>
      <c r="J315" s="14">
        <v>0.5</v>
      </c>
      <c r="K315" s="14">
        <f t="shared" si="12"/>
        <v>0.43838984851704582</v>
      </c>
      <c r="L315" s="14">
        <v>0.4</v>
      </c>
      <c r="N315" s="4"/>
      <c r="O315" s="4"/>
      <c r="P315" s="5"/>
      <c r="Q315" s="1"/>
      <c r="R315" s="2"/>
      <c r="S315" s="2"/>
      <c r="T315" s="1"/>
      <c r="U315" s="2"/>
      <c r="V315" s="2"/>
      <c r="W315" s="2"/>
    </row>
    <row r="316" spans="1:23">
      <c r="A316" s="13">
        <v>31.4</v>
      </c>
      <c r="B316" s="13">
        <f t="shared" si="0"/>
        <v>0.45356850125982806</v>
      </c>
      <c r="C316" s="13" t="str">
        <f>IF(B316&gt;=$S$2, A316, "")</f>
        <v/>
      </c>
      <c r="D316" s="13" t="str">
        <f>IF(AND(B316=1, B316&gt;=$S$2), A316, "")</f>
        <v/>
      </c>
      <c r="E316" s="13">
        <f>IF(B316&gt;=$S$2, B316, 0)</f>
        <v>0</v>
      </c>
      <c r="F316" s="13">
        <f t="shared" si="1"/>
        <v>0</v>
      </c>
      <c r="G316" s="13">
        <f t="shared" si="2"/>
        <v>0</v>
      </c>
      <c r="H316" s="13">
        <f>IF(B316&gt;=$T$2, A316, "")</f>
        <v>31.4</v>
      </c>
      <c r="I316" s="14" t="e">
        <f t="shared" si="11"/>
        <v>#N/A</v>
      </c>
      <c r="J316" s="14">
        <v>0.5</v>
      </c>
      <c r="K316" s="14">
        <f t="shared" si="12"/>
        <v>0.45356850125982806</v>
      </c>
      <c r="L316" s="14">
        <v>0.4</v>
      </c>
      <c r="N316" s="4"/>
      <c r="O316" s="4"/>
      <c r="P316" s="5"/>
      <c r="Q316" s="1"/>
      <c r="R316" s="2"/>
      <c r="S316" s="2"/>
      <c r="T316" s="1"/>
      <c r="U316" s="2"/>
      <c r="V316" s="2"/>
      <c r="W316" s="2"/>
    </row>
    <row r="317" spans="1:23">
      <c r="A317" s="13">
        <v>31.5</v>
      </c>
      <c r="B317" s="13">
        <f t="shared" si="0"/>
        <v>0.46874715400261086</v>
      </c>
      <c r="C317" s="13" t="str">
        <f>IF(B317&gt;=$S$2, A317, "")</f>
        <v/>
      </c>
      <c r="D317" s="13" t="str">
        <f>IF(AND(B317=1, B317&gt;=$S$2), A317, "")</f>
        <v/>
      </c>
      <c r="E317" s="13">
        <f>IF(B317&gt;=$S$2, B317, 0)</f>
        <v>0</v>
      </c>
      <c r="F317" s="13">
        <f t="shared" si="1"/>
        <v>0</v>
      </c>
      <c r="G317" s="13">
        <f t="shared" si="2"/>
        <v>0</v>
      </c>
      <c r="H317" s="13">
        <f>IF(B317&gt;=$T$2, A317, "")</f>
        <v>31.5</v>
      </c>
      <c r="I317" s="14" t="e">
        <f t="shared" si="11"/>
        <v>#N/A</v>
      </c>
      <c r="J317" s="14">
        <v>0.5</v>
      </c>
      <c r="K317" s="14">
        <f t="shared" si="12"/>
        <v>0.46874715400261086</v>
      </c>
      <c r="L317" s="14">
        <v>0.4</v>
      </c>
      <c r="N317" s="4"/>
      <c r="O317" s="4"/>
      <c r="P317" s="5"/>
      <c r="Q317" s="1"/>
      <c r="R317" s="2"/>
      <c r="S317" s="2"/>
      <c r="T317" s="1"/>
      <c r="U317" s="2"/>
      <c r="V317" s="2"/>
      <c r="W317" s="2"/>
    </row>
    <row r="318" spans="1:23">
      <c r="A318" s="13">
        <v>31.6</v>
      </c>
      <c r="B318" s="13">
        <f t="shared" si="0"/>
        <v>0.48392580674539359</v>
      </c>
      <c r="C318" s="13" t="str">
        <f>IF(B318&gt;=$S$2, A318, "")</f>
        <v/>
      </c>
      <c r="D318" s="13" t="str">
        <f>IF(AND(B318=1, B318&gt;=$S$2), A318, "")</f>
        <v/>
      </c>
      <c r="E318" s="13">
        <f>IF(B318&gt;=$S$2, B318, 0)</f>
        <v>0</v>
      </c>
      <c r="F318" s="13">
        <f t="shared" si="1"/>
        <v>0</v>
      </c>
      <c r="G318" s="13">
        <f t="shared" si="2"/>
        <v>0</v>
      </c>
      <c r="H318" s="13">
        <f>IF(B318&gt;=$T$2, A318, "")</f>
        <v>31.6</v>
      </c>
      <c r="I318" s="14" t="e">
        <f t="shared" si="11"/>
        <v>#N/A</v>
      </c>
      <c r="J318" s="14">
        <v>0.5</v>
      </c>
      <c r="K318" s="14">
        <f t="shared" si="12"/>
        <v>0.48392580674539359</v>
      </c>
      <c r="L318" s="14">
        <v>0.4</v>
      </c>
      <c r="N318" s="4"/>
      <c r="O318" s="4"/>
      <c r="P318" s="5"/>
      <c r="Q318" s="1"/>
      <c r="R318" s="2"/>
      <c r="S318" s="2"/>
      <c r="T318" s="1"/>
      <c r="U318" s="2"/>
      <c r="V318" s="2"/>
      <c r="W318" s="2"/>
    </row>
    <row r="319" spans="1:23">
      <c r="A319" s="13">
        <v>31.7</v>
      </c>
      <c r="B319" s="13">
        <f t="shared" si="0"/>
        <v>0.49910445948817583</v>
      </c>
      <c r="C319" s="13" t="str">
        <f>IF(B319&gt;=$S$2, A319, "")</f>
        <v/>
      </c>
      <c r="D319" s="13" t="str">
        <f>IF(AND(B319=1, B319&gt;=$S$2), A319, "")</f>
        <v/>
      </c>
      <c r="E319" s="13">
        <f>IF(B319&gt;=$S$2, B319, 0)</f>
        <v>0</v>
      </c>
      <c r="F319" s="13">
        <f t="shared" si="1"/>
        <v>0</v>
      </c>
      <c r="G319" s="13">
        <f t="shared" si="2"/>
        <v>0</v>
      </c>
      <c r="H319" s="13">
        <f>IF(B319&gt;=$T$2, A319, "")</f>
        <v>31.7</v>
      </c>
      <c r="I319" s="14" t="e">
        <f t="shared" si="11"/>
        <v>#N/A</v>
      </c>
      <c r="J319" s="14">
        <v>0.5</v>
      </c>
      <c r="K319" s="14">
        <f t="shared" si="12"/>
        <v>0.49910445948817583</v>
      </c>
      <c r="L319" s="14">
        <v>0.4</v>
      </c>
      <c r="N319" s="4"/>
      <c r="O319" s="4"/>
      <c r="P319" s="5"/>
      <c r="Q319" s="1"/>
      <c r="R319" s="2"/>
      <c r="S319" s="2"/>
      <c r="T319" s="1"/>
      <c r="U319" s="2"/>
      <c r="V319" s="2"/>
      <c r="W319" s="2"/>
    </row>
    <row r="320" spans="1:23">
      <c r="A320" s="13">
        <v>31.8</v>
      </c>
      <c r="B320" s="13">
        <f t="shared" si="0"/>
        <v>0.51428311223095857</v>
      </c>
      <c r="C320" s="13">
        <f>IF(B320&gt;=$S$2, A320, "")</f>
        <v>31.8</v>
      </c>
      <c r="D320" s="13" t="str">
        <f>IF(AND(B320=1, B320&gt;=$S$2), A320, "")</f>
        <v/>
      </c>
      <c r="E320" s="13">
        <f>IF(B320&gt;=$S$2, B320, 0)</f>
        <v>0.51428311223095857</v>
      </c>
      <c r="F320" s="13">
        <f t="shared" si="1"/>
        <v>1.6354202968944136</v>
      </c>
      <c r="G320" s="13">
        <f t="shared" si="2"/>
        <v>5.1428311223094762E-2</v>
      </c>
      <c r="H320" s="13">
        <f>IF(B320&gt;=$T$2, A320, "")</f>
        <v>31.8</v>
      </c>
      <c r="I320" s="14">
        <f t="shared" si="11"/>
        <v>0.51428311223095857</v>
      </c>
      <c r="J320" s="14">
        <v>0.5</v>
      </c>
      <c r="K320" s="14">
        <f t="shared" si="12"/>
        <v>0.51428311223095857</v>
      </c>
      <c r="L320" s="14">
        <v>0.4</v>
      </c>
      <c r="N320" s="4"/>
      <c r="O320" s="4"/>
      <c r="P320" s="5"/>
      <c r="Q320" s="1"/>
      <c r="R320" s="2"/>
      <c r="S320" s="2"/>
      <c r="T320" s="1"/>
      <c r="U320" s="2"/>
      <c r="V320" s="2"/>
      <c r="W320" s="2"/>
    </row>
    <row r="321" spans="1:23">
      <c r="A321" s="13">
        <v>31.9</v>
      </c>
      <c r="B321" s="13">
        <f t="shared" si="0"/>
        <v>0.52946176497374087</v>
      </c>
      <c r="C321" s="13">
        <f>IF(B321&gt;=$S$2, A321, "")</f>
        <v>31.9</v>
      </c>
      <c r="D321" s="13" t="str">
        <f>IF(AND(B321=1, B321&gt;=$S$2), A321, "")</f>
        <v/>
      </c>
      <c r="E321" s="13">
        <f>IF(B321&gt;=$S$2, B321, 0)</f>
        <v>0.52946176497374087</v>
      </c>
      <c r="F321" s="13">
        <f t="shared" si="1"/>
        <v>1.6889830302662572</v>
      </c>
      <c r="G321" s="13">
        <f t="shared" si="2"/>
        <v>5.294617649737484E-2</v>
      </c>
      <c r="H321" s="13">
        <f>IF(B321&gt;=$T$2, A321, "")</f>
        <v>31.9</v>
      </c>
      <c r="I321" s="14">
        <f t="shared" si="11"/>
        <v>0.52946176497374087</v>
      </c>
      <c r="J321" s="14">
        <v>0.5</v>
      </c>
      <c r="K321" s="14">
        <f t="shared" si="12"/>
        <v>0.52946176497374087</v>
      </c>
      <c r="L321" s="14">
        <v>0.4</v>
      </c>
      <c r="N321" s="4"/>
      <c r="O321" s="4"/>
      <c r="P321" s="5"/>
      <c r="Q321" s="1"/>
      <c r="R321" s="2"/>
      <c r="S321" s="2"/>
      <c r="T321" s="1"/>
      <c r="U321" s="2"/>
      <c r="V321" s="2"/>
      <c r="W321" s="2"/>
    </row>
    <row r="322" spans="1:23">
      <c r="A322" s="13">
        <v>32</v>
      </c>
      <c r="B322" s="13">
        <f t="shared" si="0"/>
        <v>0.54464041771652361</v>
      </c>
      <c r="C322" s="13">
        <f>IF(B322&gt;=$S$2, A322, "")</f>
        <v>32</v>
      </c>
      <c r="D322" s="13" t="str">
        <f>IF(AND(B322=1, B322&gt;=$S$2), A322, "")</f>
        <v/>
      </c>
      <c r="E322" s="13">
        <f>IF(B322&gt;=$S$2, B322, 0)</f>
        <v>0.54464041771652361</v>
      </c>
      <c r="F322" s="13">
        <f t="shared" si="1"/>
        <v>1.7428493366929003</v>
      </c>
      <c r="G322" s="13">
        <f t="shared" si="2"/>
        <v>5.4464041771653135E-2</v>
      </c>
      <c r="H322" s="13">
        <f>IF(B322&gt;=$T$2, A322, "")</f>
        <v>32</v>
      </c>
      <c r="I322" s="14">
        <f t="shared" si="11"/>
        <v>0.54464041771652361</v>
      </c>
      <c r="J322" s="14">
        <v>0.5</v>
      </c>
      <c r="K322" s="14">
        <f t="shared" si="12"/>
        <v>0.54464041771652361</v>
      </c>
      <c r="L322" s="14">
        <v>0.4</v>
      </c>
      <c r="N322" s="4"/>
      <c r="O322" s="4"/>
      <c r="P322" s="5"/>
      <c r="Q322" s="1"/>
      <c r="R322" s="2"/>
      <c r="S322" s="2"/>
      <c r="T322" s="1"/>
      <c r="U322" s="2"/>
      <c r="V322" s="2"/>
      <c r="W322" s="2"/>
    </row>
    <row r="323" spans="1:23">
      <c r="A323" s="13">
        <v>32.1</v>
      </c>
      <c r="B323" s="13">
        <f t="shared" si="0"/>
        <v>0.55981907045930634</v>
      </c>
      <c r="C323" s="13">
        <f>IF(B323&gt;=$S$2, A323, "")</f>
        <v>32.1</v>
      </c>
      <c r="D323" s="13" t="str">
        <f>IF(AND(B323=1, B323&gt;=$S$2), A323, "")</f>
        <v/>
      </c>
      <c r="E323" s="13">
        <f>IF(B323&gt;=$S$2, B323, 0)</f>
        <v>0.55981907045930634</v>
      </c>
      <c r="F323" s="13">
        <f t="shared" si="1"/>
        <v>1.7970192161743992</v>
      </c>
      <c r="G323" s="13">
        <f t="shared" si="2"/>
        <v>5.598190704593143E-2</v>
      </c>
      <c r="H323" s="13">
        <f>IF(B323&gt;=$T$2, A323, "")</f>
        <v>32.1</v>
      </c>
      <c r="I323" s="14">
        <f t="shared" ref="I323:I386" si="13">IF($B323&gt;=0.5, $B323, #N/A)</f>
        <v>0.55981907045930634</v>
      </c>
      <c r="J323" s="14">
        <v>0.5</v>
      </c>
      <c r="K323" s="14">
        <f t="shared" ref="K323:K386" si="14">IF($B323&gt;=0.4, $B323, #N/A)</f>
        <v>0.55981907045930634</v>
      </c>
      <c r="L323" s="14">
        <v>0.4</v>
      </c>
      <c r="N323" s="4"/>
      <c r="O323" s="4"/>
      <c r="P323" s="5"/>
      <c r="Q323" s="1"/>
      <c r="R323" s="2"/>
      <c r="S323" s="2"/>
      <c r="T323" s="1"/>
      <c r="U323" s="2"/>
      <c r="V323" s="2"/>
      <c r="W323" s="2"/>
    </row>
    <row r="324" spans="1:23">
      <c r="A324" s="13">
        <v>32.200000000000003</v>
      </c>
      <c r="B324" s="13">
        <f t="shared" si="0"/>
        <v>0.57499772320208908</v>
      </c>
      <c r="C324" s="13">
        <f>IF(B324&gt;=$S$2, A324, "")</f>
        <v>32.200000000000003</v>
      </c>
      <c r="D324" s="13" t="str">
        <f>IF(AND(B324=1, B324&gt;=$S$2), A324, "")</f>
        <v/>
      </c>
      <c r="E324" s="13">
        <f>IF(B324&gt;=$S$2, B324, 0)</f>
        <v>0.57499772320208908</v>
      </c>
      <c r="F324" s="13">
        <f t="shared" si="1"/>
        <v>1.8514926687106217</v>
      </c>
      <c r="G324" s="13">
        <f t="shared" si="2"/>
        <v>5.7499772320205637E-2</v>
      </c>
      <c r="H324" s="13">
        <f>IF(B324&gt;=$T$2, A324, "")</f>
        <v>32.200000000000003</v>
      </c>
      <c r="I324" s="14">
        <f t="shared" si="13"/>
        <v>0.57499772320208908</v>
      </c>
      <c r="J324" s="14">
        <v>0.5</v>
      </c>
      <c r="K324" s="14">
        <f t="shared" si="14"/>
        <v>0.57499772320208908</v>
      </c>
      <c r="L324" s="14">
        <v>0.4</v>
      </c>
      <c r="N324" s="4"/>
      <c r="O324" s="4"/>
      <c r="P324" s="5"/>
      <c r="Q324" s="1"/>
      <c r="R324" s="2"/>
      <c r="S324" s="2"/>
      <c r="T324" s="1"/>
      <c r="U324" s="2"/>
      <c r="V324" s="2"/>
      <c r="W324" s="2"/>
    </row>
    <row r="325" spans="1:23">
      <c r="A325" s="13">
        <v>32.299999999999997</v>
      </c>
      <c r="B325" s="13">
        <f t="shared" si="0"/>
        <v>0.59017637594487082</v>
      </c>
      <c r="C325" s="13">
        <f>IF(B325&gt;=$S$2, A325, "")</f>
        <v>32.299999999999997</v>
      </c>
      <c r="D325" s="13" t="str">
        <f>IF(AND(B325=1, B325&gt;=$S$2), A325, "")</f>
        <v/>
      </c>
      <c r="E325" s="13">
        <f>IF(B325&gt;=$S$2, B325, 0)</f>
        <v>0.59017637594487082</v>
      </c>
      <c r="F325" s="13">
        <f t="shared" si="1"/>
        <v>1.9062696943019597</v>
      </c>
      <c r="G325" s="13">
        <f t="shared" si="2"/>
        <v>5.9017637594487922E-2</v>
      </c>
      <c r="H325" s="13">
        <f>IF(B325&gt;=$T$2, A325, "")</f>
        <v>32.299999999999997</v>
      </c>
      <c r="I325" s="14">
        <f t="shared" si="13"/>
        <v>0.59017637594487082</v>
      </c>
      <c r="J325" s="14">
        <v>0.5</v>
      </c>
      <c r="K325" s="14">
        <f t="shared" si="14"/>
        <v>0.59017637594487082</v>
      </c>
      <c r="L325" s="14">
        <v>0.4</v>
      </c>
      <c r="N325" s="4"/>
      <c r="O325" s="4"/>
      <c r="P325" s="5"/>
      <c r="Q325" s="1"/>
      <c r="R325" s="2"/>
      <c r="S325" s="2"/>
      <c r="T325" s="1"/>
      <c r="U325" s="2"/>
      <c r="V325" s="2"/>
      <c r="W325" s="2"/>
    </row>
    <row r="326" spans="1:23">
      <c r="A326" s="13">
        <v>32.4</v>
      </c>
      <c r="B326" s="13">
        <f t="shared" si="0"/>
        <v>0.60535502868765356</v>
      </c>
      <c r="C326" s="13">
        <f>IF(B326&gt;=$S$2, A326, "")</f>
        <v>32.4</v>
      </c>
      <c r="D326" s="13" t="str">
        <f>IF(AND(B326=1, B326&gt;=$S$2), A326, "")</f>
        <v/>
      </c>
      <c r="E326" s="13">
        <f>IF(B326&gt;=$S$2, B326, 0)</f>
        <v>0.60535502868765356</v>
      </c>
      <c r="F326" s="13">
        <f t="shared" si="1"/>
        <v>1.9613502929480253</v>
      </c>
      <c r="G326" s="13">
        <f t="shared" si="2"/>
        <v>6.0535502868766217E-2</v>
      </c>
      <c r="H326" s="13">
        <f>IF(B326&gt;=$T$2, A326, "")</f>
        <v>32.4</v>
      </c>
      <c r="I326" s="14">
        <f t="shared" si="13"/>
        <v>0.60535502868765356</v>
      </c>
      <c r="J326" s="14">
        <v>0.5</v>
      </c>
      <c r="K326" s="14">
        <f t="shared" si="14"/>
        <v>0.60535502868765356</v>
      </c>
      <c r="L326" s="14">
        <v>0.4</v>
      </c>
      <c r="N326" s="4"/>
      <c r="O326" s="4"/>
      <c r="P326" s="5"/>
      <c r="Q326" s="1"/>
      <c r="R326" s="2"/>
      <c r="S326" s="2"/>
      <c r="T326" s="1"/>
      <c r="U326" s="2"/>
      <c r="V326" s="2"/>
      <c r="W326" s="2"/>
    </row>
    <row r="327" spans="1:23">
      <c r="A327" s="13">
        <v>32.5</v>
      </c>
      <c r="B327" s="13">
        <f t="shared" si="0"/>
        <v>0.6205336814304363</v>
      </c>
      <c r="C327" s="13">
        <f>IF(B327&gt;=$S$2, A327, "")</f>
        <v>32.5</v>
      </c>
      <c r="D327" s="13" t="str">
        <f>IF(AND(B327=1, B327&gt;=$S$2), A327, "")</f>
        <v/>
      </c>
      <c r="E327" s="13">
        <f>IF(B327&gt;=$S$2, B327, 0)</f>
        <v>0.6205336814304363</v>
      </c>
      <c r="F327" s="13">
        <f t="shared" si="1"/>
        <v>2.0167344646489469</v>
      </c>
      <c r="G327" s="13">
        <f t="shared" si="2"/>
        <v>6.2053368143044511E-2</v>
      </c>
      <c r="H327" s="13">
        <f>IF(B327&gt;=$T$2, A327, "")</f>
        <v>32.5</v>
      </c>
      <c r="I327" s="14">
        <f t="shared" si="13"/>
        <v>0.6205336814304363</v>
      </c>
      <c r="J327" s="14">
        <v>0.5</v>
      </c>
      <c r="K327" s="14">
        <f t="shared" si="14"/>
        <v>0.6205336814304363</v>
      </c>
      <c r="L327" s="14">
        <v>0.4</v>
      </c>
      <c r="N327" s="4"/>
      <c r="O327" s="4"/>
      <c r="P327" s="5"/>
      <c r="Q327" s="1"/>
      <c r="R327" s="2"/>
      <c r="S327" s="2"/>
      <c r="T327" s="1"/>
      <c r="U327" s="2"/>
      <c r="V327" s="2"/>
      <c r="W327" s="2"/>
    </row>
    <row r="328" spans="1:23">
      <c r="A328" s="13">
        <v>32.6</v>
      </c>
      <c r="B328" s="13">
        <f t="shared" si="0"/>
        <v>0.63571233417321915</v>
      </c>
      <c r="C328" s="13">
        <f>IF(B328&gt;=$S$2, A328, "")</f>
        <v>32.6</v>
      </c>
      <c r="D328" s="13" t="str">
        <f>IF(AND(B328=1, B328&gt;=$S$2), A328, "")</f>
        <v/>
      </c>
      <c r="E328" s="13">
        <f>IF(B328&gt;=$S$2, B328, 0)</f>
        <v>0.63571233417321915</v>
      </c>
      <c r="F328" s="13">
        <f t="shared" si="1"/>
        <v>2.0724222094047238</v>
      </c>
      <c r="G328" s="13">
        <f t="shared" si="2"/>
        <v>6.357123341732282E-2</v>
      </c>
      <c r="H328" s="13">
        <f>IF(B328&gt;=$T$2, A328, "")</f>
        <v>32.6</v>
      </c>
      <c r="I328" s="14">
        <f t="shared" si="13"/>
        <v>0.63571233417321915</v>
      </c>
      <c r="J328" s="14">
        <v>0.5</v>
      </c>
      <c r="K328" s="14">
        <f t="shared" si="14"/>
        <v>0.63571233417321915</v>
      </c>
      <c r="L328" s="14">
        <v>0.4</v>
      </c>
      <c r="N328" s="4"/>
      <c r="O328" s="4"/>
      <c r="P328" s="5"/>
      <c r="Q328" s="1"/>
      <c r="R328" s="2"/>
      <c r="S328" s="2"/>
      <c r="T328" s="1"/>
      <c r="U328" s="2"/>
      <c r="V328" s="2"/>
      <c r="W328" s="2"/>
    </row>
    <row r="329" spans="1:23">
      <c r="A329" s="13">
        <v>32.700000000000003</v>
      </c>
      <c r="B329" s="13">
        <f t="shared" si="0"/>
        <v>0.65089098691600189</v>
      </c>
      <c r="C329" s="13">
        <f>IF(B329&gt;=$S$2, A329, "")</f>
        <v>32.700000000000003</v>
      </c>
      <c r="D329" s="13" t="str">
        <f>IF(AND(B329=1, B329&gt;=$S$2), A329, "")</f>
        <v/>
      </c>
      <c r="E329" s="13">
        <f>IF(B329&gt;=$S$2, B329, 0)</f>
        <v>0.65089098691600189</v>
      </c>
      <c r="F329" s="13">
        <f t="shared" si="1"/>
        <v>2.1284135272152054</v>
      </c>
      <c r="G329" s="13">
        <f t="shared" si="2"/>
        <v>6.5089098691596486E-2</v>
      </c>
      <c r="H329" s="13">
        <f>IF(B329&gt;=$T$2, A329, "")</f>
        <v>32.700000000000003</v>
      </c>
      <c r="I329" s="14">
        <f t="shared" si="13"/>
        <v>0.65089098691600189</v>
      </c>
      <c r="J329" s="14">
        <v>0.5</v>
      </c>
      <c r="K329" s="14">
        <f t="shared" si="14"/>
        <v>0.65089098691600189</v>
      </c>
      <c r="L329" s="14">
        <v>0.4</v>
      </c>
      <c r="N329" s="4"/>
      <c r="O329" s="4"/>
      <c r="P329" s="5"/>
      <c r="Q329" s="1"/>
      <c r="R329" s="2"/>
      <c r="S329" s="2"/>
      <c r="T329" s="1"/>
      <c r="U329" s="2"/>
      <c r="V329" s="2"/>
      <c r="W329" s="2"/>
    </row>
    <row r="330" spans="1:23">
      <c r="A330" s="13">
        <v>32.799999999999997</v>
      </c>
      <c r="B330" s="13">
        <f t="shared" si="0"/>
        <v>0.66606963965878352</v>
      </c>
      <c r="C330" s="13">
        <f>IF(B330&gt;=$S$2, A330, "")</f>
        <v>32.799999999999997</v>
      </c>
      <c r="D330" s="13" t="str">
        <f>IF(AND(B330=1, B330&gt;=$S$2), A330, "")</f>
        <v/>
      </c>
      <c r="E330" s="13">
        <f>IF(B330&gt;=$S$2, B330, 0)</f>
        <v>0.66606963965878352</v>
      </c>
      <c r="F330" s="13">
        <f t="shared" si="1"/>
        <v>2.1847084180808407</v>
      </c>
      <c r="G330" s="13">
        <f t="shared" si="2"/>
        <v>6.6606963965879298E-2</v>
      </c>
      <c r="H330" s="13">
        <f>IF(B330&gt;=$T$2, A330, "")</f>
        <v>32.799999999999997</v>
      </c>
      <c r="I330" s="14">
        <f t="shared" si="13"/>
        <v>0.66606963965878352</v>
      </c>
      <c r="J330" s="14">
        <v>0.5</v>
      </c>
      <c r="K330" s="14">
        <f t="shared" si="14"/>
        <v>0.66606963965878352</v>
      </c>
      <c r="L330" s="14">
        <v>0.4</v>
      </c>
      <c r="N330" s="4"/>
      <c r="O330" s="4"/>
      <c r="P330" s="5"/>
      <c r="Q330" s="1"/>
      <c r="R330" s="2"/>
      <c r="S330" s="2"/>
      <c r="T330" s="1"/>
      <c r="U330" s="2"/>
      <c r="V330" s="2"/>
      <c r="W330" s="2"/>
    </row>
    <row r="331" spans="1:23">
      <c r="A331" s="13">
        <v>32.9</v>
      </c>
      <c r="B331" s="13">
        <f t="shared" si="0"/>
        <v>0.68124829240156637</v>
      </c>
      <c r="C331" s="13">
        <f>IF(B331&gt;=$S$2, A331, "")</f>
        <v>32.9</v>
      </c>
      <c r="D331" s="13" t="str">
        <f>IF(AND(B331=1, B331&gt;=$S$2), A331, "")</f>
        <v/>
      </c>
      <c r="E331" s="13">
        <f>IF(B331&gt;=$S$2, B331, 0)</f>
        <v>0.68124829240156637</v>
      </c>
      <c r="F331" s="13">
        <f t="shared" si="1"/>
        <v>2.2413068820011852</v>
      </c>
      <c r="G331" s="13">
        <f t="shared" si="2"/>
        <v>6.81248292401576E-2</v>
      </c>
      <c r="H331" s="13">
        <f>IF(B331&gt;=$T$2, A331, "")</f>
        <v>32.9</v>
      </c>
      <c r="I331" s="14">
        <f t="shared" si="13"/>
        <v>0.68124829240156637</v>
      </c>
      <c r="J331" s="14">
        <v>0.5</v>
      </c>
      <c r="K331" s="14">
        <f t="shared" si="14"/>
        <v>0.68124829240156637</v>
      </c>
      <c r="L331" s="14">
        <v>0.4</v>
      </c>
      <c r="N331" s="4"/>
      <c r="O331" s="4"/>
      <c r="P331" s="5"/>
      <c r="Q331" s="1"/>
      <c r="R331" s="2"/>
      <c r="S331" s="2"/>
      <c r="T331" s="1"/>
      <c r="U331" s="2"/>
      <c r="V331" s="2"/>
      <c r="W331" s="2"/>
    </row>
    <row r="332" spans="1:23">
      <c r="A332" s="13">
        <v>33</v>
      </c>
      <c r="B332" s="13">
        <f t="shared" si="0"/>
        <v>0.69642694514434911</v>
      </c>
      <c r="C332" s="13">
        <f>IF(B332&gt;=$S$2, A332, "")</f>
        <v>33</v>
      </c>
      <c r="D332" s="13" t="str">
        <f>IF(AND(B332=1, B332&gt;=$S$2), A332, "")</f>
        <v/>
      </c>
      <c r="E332" s="13">
        <f>IF(B332&gt;=$S$2, B332, 0)</f>
        <v>0.69642694514434911</v>
      </c>
      <c r="F332" s="13">
        <f t="shared" si="1"/>
        <v>2.2982089189763846</v>
      </c>
      <c r="G332" s="13">
        <f t="shared" si="2"/>
        <v>6.9642694514435902E-2</v>
      </c>
      <c r="H332" s="13">
        <f>IF(B332&gt;=$T$2, A332, "")</f>
        <v>33</v>
      </c>
      <c r="I332" s="14">
        <f t="shared" si="13"/>
        <v>0.69642694514434911</v>
      </c>
      <c r="J332" s="14">
        <v>0.5</v>
      </c>
      <c r="K332" s="14">
        <f t="shared" si="14"/>
        <v>0.69642694514434911</v>
      </c>
      <c r="L332" s="14">
        <v>0.4</v>
      </c>
      <c r="N332" s="4"/>
      <c r="O332" s="4"/>
      <c r="P332" s="5"/>
      <c r="Q332" s="1"/>
      <c r="R332" s="2"/>
      <c r="S332" s="2"/>
      <c r="T332" s="1"/>
      <c r="U332" s="2"/>
      <c r="V332" s="2"/>
      <c r="W332" s="2"/>
    </row>
    <row r="333" spans="1:23">
      <c r="A333" s="13">
        <v>33.1</v>
      </c>
      <c r="B333" s="13">
        <f t="shared" si="0"/>
        <v>0.71160559788713185</v>
      </c>
      <c r="C333" s="13">
        <f>IF(B333&gt;=$S$2, A333, "")</f>
        <v>33.1</v>
      </c>
      <c r="D333" s="13" t="str">
        <f>IF(AND(B333=1, B333&gt;=$S$2), A333, "")</f>
        <v/>
      </c>
      <c r="E333" s="13">
        <f>IF(B333&gt;=$S$2, B333, 0)</f>
        <v>0.71160559788713185</v>
      </c>
      <c r="F333" s="13">
        <f t="shared" si="1"/>
        <v>2.3554145290064397</v>
      </c>
      <c r="G333" s="13">
        <f t="shared" si="2"/>
        <v>7.1160559788714189E-2</v>
      </c>
      <c r="H333" s="13">
        <f>IF(B333&gt;=$T$2, A333, "")</f>
        <v>33.1</v>
      </c>
      <c r="I333" s="14">
        <f t="shared" si="13"/>
        <v>0.71160559788713185</v>
      </c>
      <c r="J333" s="14">
        <v>0.5</v>
      </c>
      <c r="K333" s="14">
        <f t="shared" si="14"/>
        <v>0.71160559788713185</v>
      </c>
      <c r="L333" s="14">
        <v>0.4</v>
      </c>
      <c r="N333" s="4"/>
      <c r="O333" s="4"/>
      <c r="P333" s="5"/>
      <c r="Q333" s="1"/>
      <c r="R333" s="2"/>
      <c r="S333" s="2"/>
      <c r="T333" s="1"/>
      <c r="U333" s="2"/>
      <c r="V333" s="2"/>
      <c r="W333" s="2"/>
    </row>
    <row r="334" spans="1:23">
      <c r="A334" s="13">
        <v>33.200000000000003</v>
      </c>
      <c r="B334" s="13">
        <f t="shared" si="0"/>
        <v>0.72678425062991459</v>
      </c>
      <c r="C334" s="13">
        <f>IF(B334&gt;=$S$2, A334, "")</f>
        <v>33.200000000000003</v>
      </c>
      <c r="D334" s="13" t="str">
        <f>IF(AND(B334=1, B334&gt;=$S$2), A334, "")</f>
        <v/>
      </c>
      <c r="E334" s="13">
        <f>IF(B334&gt;=$S$2, B334, 0)</f>
        <v>0.72678425062991459</v>
      </c>
      <c r="F334" s="13">
        <f t="shared" si="1"/>
        <v>2.4129237120911795</v>
      </c>
      <c r="G334" s="13">
        <f t="shared" si="2"/>
        <v>7.2678425062987329E-2</v>
      </c>
      <c r="H334" s="13">
        <f>IF(B334&gt;=$T$2, A334, "")</f>
        <v>33.200000000000003</v>
      </c>
      <c r="I334" s="14">
        <f t="shared" si="13"/>
        <v>0.72678425062991459</v>
      </c>
      <c r="J334" s="14">
        <v>0.5</v>
      </c>
      <c r="K334" s="14">
        <f t="shared" si="14"/>
        <v>0.72678425062991459</v>
      </c>
      <c r="L334" s="14">
        <v>0.4</v>
      </c>
      <c r="N334" s="4"/>
      <c r="O334" s="4"/>
      <c r="P334" s="5"/>
      <c r="Q334" s="1"/>
      <c r="R334" s="2"/>
      <c r="S334" s="2"/>
      <c r="T334" s="1"/>
      <c r="U334" s="2"/>
      <c r="V334" s="2"/>
      <c r="W334" s="2"/>
    </row>
    <row r="335" spans="1:23">
      <c r="A335" s="13">
        <v>33.299999999999997</v>
      </c>
      <c r="B335" s="13">
        <f t="shared" si="0"/>
        <v>0.74196290337269633</v>
      </c>
      <c r="C335" s="13">
        <f>IF(B335&gt;=$S$2, A335, "")</f>
        <v>33.299999999999997</v>
      </c>
      <c r="D335" s="13" t="str">
        <f>IF(AND(B335=1, B335&gt;=$S$2), A335, "")</f>
        <v/>
      </c>
      <c r="E335" s="13">
        <f>IF(B335&gt;=$S$2, B335, 0)</f>
        <v>0.74196290337269633</v>
      </c>
      <c r="F335" s="13">
        <f t="shared" si="1"/>
        <v>2.4707364682311135</v>
      </c>
      <c r="G335" s="13">
        <f t="shared" si="2"/>
        <v>7.4196290337270682E-2</v>
      </c>
      <c r="H335" s="13">
        <f>IF(B335&gt;=$T$2, A335, "")</f>
        <v>33.299999999999997</v>
      </c>
      <c r="I335" s="14">
        <f t="shared" si="13"/>
        <v>0.74196290337269633</v>
      </c>
      <c r="J335" s="14">
        <v>0.5</v>
      </c>
      <c r="K335" s="14">
        <f t="shared" si="14"/>
        <v>0.74196290337269633</v>
      </c>
      <c r="L335" s="14">
        <v>0.4</v>
      </c>
      <c r="N335" s="4"/>
      <c r="O335" s="4"/>
      <c r="P335" s="5"/>
      <c r="Q335" s="1"/>
      <c r="R335" s="2"/>
      <c r="S335" s="2"/>
      <c r="T335" s="1"/>
      <c r="U335" s="2"/>
      <c r="V335" s="2"/>
      <c r="W335" s="2"/>
    </row>
    <row r="336" spans="1:23">
      <c r="A336" s="13">
        <v>33.4</v>
      </c>
      <c r="B336" s="13">
        <f t="shared" si="0"/>
        <v>0.75714155611547906</v>
      </c>
      <c r="C336" s="13">
        <f>IF(B336&gt;=$S$2, A336, "")</f>
        <v>33.4</v>
      </c>
      <c r="D336" s="13" t="str">
        <f>IF(AND(B336=1, B336&gt;=$S$2), A336, "")</f>
        <v/>
      </c>
      <c r="E336" s="13">
        <f>IF(B336&gt;=$S$2, B336, 0)</f>
        <v>0.75714155611547906</v>
      </c>
      <c r="F336" s="13">
        <f t="shared" si="1"/>
        <v>2.5288527974257362</v>
      </c>
      <c r="G336" s="13">
        <f t="shared" si="2"/>
        <v>7.5714155611548983E-2</v>
      </c>
      <c r="H336" s="13">
        <f>IF(B336&gt;=$T$2, A336, "")</f>
        <v>33.4</v>
      </c>
      <c r="I336" s="14">
        <f t="shared" si="13"/>
        <v>0.75714155611547906</v>
      </c>
      <c r="J336" s="14">
        <v>0.5</v>
      </c>
      <c r="K336" s="14">
        <f t="shared" si="14"/>
        <v>0.75714155611547906</v>
      </c>
      <c r="L336" s="14">
        <v>0.4</v>
      </c>
      <c r="N336" s="4"/>
      <c r="O336" s="4"/>
      <c r="P336" s="5"/>
      <c r="Q336" s="1"/>
      <c r="R336" s="2"/>
      <c r="S336" s="2"/>
      <c r="T336" s="1"/>
      <c r="U336" s="2"/>
      <c r="V336" s="2"/>
      <c r="W336" s="2"/>
    </row>
    <row r="337" spans="1:23">
      <c r="A337" s="13">
        <v>33.5</v>
      </c>
      <c r="B337" s="13">
        <f t="shared" si="0"/>
        <v>0.77232020885826191</v>
      </c>
      <c r="C337" s="13">
        <f>IF(B337&gt;=$S$2, A337, "")</f>
        <v>33.5</v>
      </c>
      <c r="D337" s="13" t="str">
        <f>IF(AND(B337=1, B337&gt;=$S$2), A337, "")</f>
        <v/>
      </c>
      <c r="E337" s="13">
        <f>IF(B337&gt;=$S$2, B337, 0)</f>
        <v>0.77232020885826191</v>
      </c>
      <c r="F337" s="13">
        <f t="shared" si="1"/>
        <v>2.5872726996752142</v>
      </c>
      <c r="G337" s="13">
        <f t="shared" si="2"/>
        <v>7.7232020885827285E-2</v>
      </c>
      <c r="H337" s="13">
        <f>IF(B337&gt;=$T$2, A337, "")</f>
        <v>33.5</v>
      </c>
      <c r="I337" s="14">
        <f t="shared" si="13"/>
        <v>0.77232020885826191</v>
      </c>
      <c r="J337" s="14">
        <v>0.5</v>
      </c>
      <c r="K337" s="14">
        <f t="shared" si="14"/>
        <v>0.77232020885826191</v>
      </c>
      <c r="L337" s="14">
        <v>0.4</v>
      </c>
      <c r="N337" s="4"/>
      <c r="O337" s="4"/>
      <c r="P337" s="5"/>
      <c r="Q337" s="1"/>
      <c r="R337" s="2"/>
      <c r="S337" s="2"/>
      <c r="T337" s="1"/>
      <c r="U337" s="2"/>
      <c r="V337" s="2"/>
      <c r="W337" s="2"/>
    </row>
    <row r="338" spans="1:23">
      <c r="A338" s="13">
        <v>33.6</v>
      </c>
      <c r="B338" s="13">
        <f t="shared" si="0"/>
        <v>0.78749886160104465</v>
      </c>
      <c r="C338" s="13">
        <f>IF(B338&gt;=$S$2, A338, "")</f>
        <v>33.6</v>
      </c>
      <c r="D338" s="13" t="str">
        <f>IF(AND(B338=1, B338&gt;=$S$2), A338, "")</f>
        <v/>
      </c>
      <c r="E338" s="13">
        <f>IF(B338&gt;=$S$2, B338, 0)</f>
        <v>0.78749886160104465</v>
      </c>
      <c r="F338" s="13">
        <f t="shared" si="1"/>
        <v>2.645996174979548</v>
      </c>
      <c r="G338" s="13">
        <f t="shared" si="2"/>
        <v>7.8749886160105587E-2</v>
      </c>
      <c r="H338" s="13">
        <f>IF(B338&gt;=$T$2, A338, "")</f>
        <v>33.6</v>
      </c>
      <c r="I338" s="14">
        <f t="shared" si="13"/>
        <v>0.78749886160104465</v>
      </c>
      <c r="J338" s="14">
        <v>0.5</v>
      </c>
      <c r="K338" s="14">
        <f t="shared" si="14"/>
        <v>0.78749886160104465</v>
      </c>
      <c r="L338" s="14">
        <v>0.4</v>
      </c>
      <c r="N338" s="4"/>
      <c r="O338" s="4"/>
      <c r="P338" s="5"/>
      <c r="Q338" s="1"/>
      <c r="R338" s="2"/>
      <c r="S338" s="2"/>
      <c r="T338" s="1"/>
      <c r="U338" s="2"/>
      <c r="V338" s="2"/>
      <c r="W338" s="2"/>
    </row>
    <row r="339" spans="1:23">
      <c r="A339" s="13">
        <v>33.700000000000003</v>
      </c>
      <c r="B339" s="13">
        <f t="shared" si="0"/>
        <v>0.80267751434382739</v>
      </c>
      <c r="C339" s="13">
        <f>IF(B339&gt;=$S$2, A339, "")</f>
        <v>33.700000000000003</v>
      </c>
      <c r="D339" s="13" t="str">
        <f>IF(AND(B339=1, B339&gt;=$S$2), A339, "")</f>
        <v/>
      </c>
      <c r="E339" s="13">
        <f>IF(B339&gt;=$S$2, B339, 0)</f>
        <v>0.80267751434382739</v>
      </c>
      <c r="F339" s="13">
        <f t="shared" si="1"/>
        <v>2.7050232233385447</v>
      </c>
      <c r="G339" s="13">
        <f t="shared" si="2"/>
        <v>8.0267751434378171E-2</v>
      </c>
      <c r="H339" s="13">
        <f>IF(B339&gt;=$T$2, A339, "")</f>
        <v>33.700000000000003</v>
      </c>
      <c r="I339" s="14">
        <f t="shared" si="13"/>
        <v>0.80267751434382739</v>
      </c>
      <c r="J339" s="14">
        <v>0.5</v>
      </c>
      <c r="K339" s="14">
        <f t="shared" si="14"/>
        <v>0.80267751434382739</v>
      </c>
      <c r="L339" s="14">
        <v>0.4</v>
      </c>
      <c r="N339" s="4"/>
      <c r="O339" s="4"/>
      <c r="P339" s="5"/>
      <c r="Q339" s="1"/>
      <c r="R339" s="2"/>
      <c r="S339" s="2"/>
      <c r="T339" s="1"/>
      <c r="U339" s="2"/>
      <c r="V339" s="2"/>
      <c r="W339" s="2"/>
    </row>
    <row r="340" spans="1:23">
      <c r="A340" s="13">
        <v>33.799999999999997</v>
      </c>
      <c r="B340" s="13">
        <f t="shared" si="0"/>
        <v>0.81785616708660913</v>
      </c>
      <c r="C340" s="13">
        <f>IF(B340&gt;=$S$2, A340, "")</f>
        <v>33.799999999999997</v>
      </c>
      <c r="D340" s="13" t="str">
        <f>IF(AND(B340=1, B340&gt;=$S$2), A340, "")</f>
        <v/>
      </c>
      <c r="E340" s="13">
        <f>IF(B340&gt;=$S$2, B340, 0)</f>
        <v>0.81785616708660913</v>
      </c>
      <c r="F340" s="13">
        <f t="shared" si="1"/>
        <v>2.7643538447527778</v>
      </c>
      <c r="G340" s="13">
        <f t="shared" si="2"/>
        <v>8.1785616708662079E-2</v>
      </c>
      <c r="H340" s="13">
        <f>IF(B340&gt;=$T$2, A340, "")</f>
        <v>33.799999999999997</v>
      </c>
      <c r="I340" s="14">
        <f t="shared" si="13"/>
        <v>0.81785616708660913</v>
      </c>
      <c r="J340" s="14">
        <v>0.5</v>
      </c>
      <c r="K340" s="14">
        <f t="shared" si="14"/>
        <v>0.81785616708660913</v>
      </c>
      <c r="L340" s="14">
        <v>0.4</v>
      </c>
      <c r="N340" s="4"/>
      <c r="O340" s="4"/>
      <c r="P340" s="5"/>
      <c r="Q340" s="1"/>
      <c r="R340" s="2"/>
      <c r="S340" s="2"/>
      <c r="T340" s="1"/>
      <c r="U340" s="2"/>
      <c r="V340" s="2"/>
      <c r="W340" s="2"/>
    </row>
    <row r="341" spans="1:23">
      <c r="A341" s="13">
        <v>33.9</v>
      </c>
      <c r="B341" s="13">
        <f t="shared" si="0"/>
        <v>0.83303481982939187</v>
      </c>
      <c r="C341" s="13">
        <f>IF(B341&gt;=$S$2, A341, "")</f>
        <v>33.9</v>
      </c>
      <c r="D341" s="13" t="str">
        <f>IF(AND(B341=1, B341&gt;=$S$2), A341, "")</f>
        <v/>
      </c>
      <c r="E341" s="13">
        <f>IF(B341&gt;=$S$2, B341, 0)</f>
        <v>0.83303481982939187</v>
      </c>
      <c r="F341" s="13">
        <f t="shared" si="1"/>
        <v>2.8239880392216783</v>
      </c>
      <c r="G341" s="13">
        <f t="shared" si="2"/>
        <v>8.3303481982940367E-2</v>
      </c>
      <c r="H341" s="13">
        <f>IF(B341&gt;=$T$2, A341, "")</f>
        <v>33.9</v>
      </c>
      <c r="I341" s="14">
        <f t="shared" si="13"/>
        <v>0.83303481982939187</v>
      </c>
      <c r="J341" s="14">
        <v>0.5</v>
      </c>
      <c r="K341" s="14">
        <f t="shared" si="14"/>
        <v>0.83303481982939187</v>
      </c>
      <c r="L341" s="14">
        <v>0.4</v>
      </c>
      <c r="N341" s="4"/>
      <c r="O341" s="4"/>
      <c r="P341" s="5"/>
      <c r="Q341" s="1"/>
      <c r="R341" s="2"/>
      <c r="S341" s="2"/>
      <c r="T341" s="1"/>
      <c r="U341" s="2"/>
      <c r="V341" s="2"/>
      <c r="W341" s="2"/>
    </row>
    <row r="342" spans="1:23">
      <c r="A342" s="13">
        <v>34</v>
      </c>
      <c r="B342" s="13">
        <f t="shared" si="0"/>
        <v>0.84821347257217461</v>
      </c>
      <c r="C342" s="13">
        <f>IF(B342&gt;=$S$2, A342, "")</f>
        <v>34</v>
      </c>
      <c r="D342" s="13" t="str">
        <f>IF(AND(B342=1, B342&gt;=$S$2), A342, "")</f>
        <v/>
      </c>
      <c r="E342" s="13">
        <f>IF(B342&gt;=$S$2, B342, 0)</f>
        <v>0.84821347257217461</v>
      </c>
      <c r="F342" s="13">
        <f t="shared" si="1"/>
        <v>2.8839258067454345</v>
      </c>
      <c r="G342" s="13">
        <f t="shared" si="2"/>
        <v>8.4821347257218668E-2</v>
      </c>
      <c r="H342" s="13">
        <f>IF(B342&gt;=$T$2, A342, "")</f>
        <v>34</v>
      </c>
      <c r="I342" s="14">
        <f t="shared" si="13"/>
        <v>0.84821347257217461</v>
      </c>
      <c r="J342" s="14">
        <v>0.5</v>
      </c>
      <c r="K342" s="14">
        <f t="shared" si="14"/>
        <v>0.84821347257217461</v>
      </c>
      <c r="L342" s="14">
        <v>0.4</v>
      </c>
      <c r="N342" s="4"/>
      <c r="O342" s="4"/>
      <c r="P342" s="5"/>
      <c r="Q342" s="1"/>
      <c r="R342" s="2"/>
      <c r="S342" s="2"/>
      <c r="T342" s="1"/>
      <c r="U342" s="2"/>
      <c r="V342" s="2"/>
      <c r="W342" s="2"/>
    </row>
    <row r="343" spans="1:23">
      <c r="A343" s="13">
        <v>34.1</v>
      </c>
      <c r="B343" s="13">
        <f t="shared" si="0"/>
        <v>0.86339212531495735</v>
      </c>
      <c r="C343" s="13">
        <f>IF(B343&gt;=$S$2, A343, "")</f>
        <v>34.1</v>
      </c>
      <c r="D343" s="13" t="str">
        <f>IF(AND(B343=1, B343&gt;=$S$2), A343, "")</f>
        <v/>
      </c>
      <c r="E343" s="13">
        <f>IF(B343&gt;=$S$2, B343, 0)</f>
        <v>0.86339212531495735</v>
      </c>
      <c r="F343" s="13">
        <f t="shared" si="1"/>
        <v>2.9441671473240465</v>
      </c>
      <c r="G343" s="13">
        <f t="shared" si="2"/>
        <v>8.6339212531496956E-2</v>
      </c>
      <c r="H343" s="13">
        <f>IF(B343&gt;=$T$2, A343, "")</f>
        <v>34.1</v>
      </c>
      <c r="I343" s="14">
        <f t="shared" si="13"/>
        <v>0.86339212531495735</v>
      </c>
      <c r="J343" s="14">
        <v>0.5</v>
      </c>
      <c r="K343" s="14">
        <f t="shared" si="14"/>
        <v>0.86339212531495735</v>
      </c>
      <c r="L343" s="14">
        <v>0.4</v>
      </c>
      <c r="N343" s="4"/>
      <c r="O343" s="4"/>
      <c r="P343" s="5"/>
      <c r="Q343" s="1"/>
      <c r="R343" s="2"/>
      <c r="S343" s="2"/>
      <c r="T343" s="1"/>
      <c r="U343" s="2"/>
      <c r="V343" s="2"/>
      <c r="W343" s="2"/>
    </row>
    <row r="344" spans="1:23">
      <c r="A344" s="13">
        <v>34.200000000000003</v>
      </c>
      <c r="B344" s="13">
        <f t="shared" si="0"/>
        <v>0.8785707780577402</v>
      </c>
      <c r="C344" s="13">
        <f>IF(B344&gt;=$S$2, A344, "")</f>
        <v>34.200000000000003</v>
      </c>
      <c r="D344" s="13" t="str">
        <f>IF(AND(B344=1, B344&gt;=$S$2), A344, "")</f>
        <v/>
      </c>
      <c r="E344" s="13">
        <f>IF(B344&gt;=$S$2, B344, 0)</f>
        <v>0.8785707780577402</v>
      </c>
      <c r="F344" s="13">
        <f t="shared" si="1"/>
        <v>3.0047120609573006</v>
      </c>
      <c r="G344" s="13">
        <f t="shared" si="2"/>
        <v>8.7857077805769027E-2</v>
      </c>
      <c r="H344" s="13">
        <f>IF(B344&gt;=$T$2, A344, "")</f>
        <v>34.200000000000003</v>
      </c>
      <c r="I344" s="14">
        <f t="shared" si="13"/>
        <v>0.8785707780577402</v>
      </c>
      <c r="J344" s="14">
        <v>0.5</v>
      </c>
      <c r="K344" s="14">
        <f t="shared" si="14"/>
        <v>0.8785707780577402</v>
      </c>
      <c r="L344" s="14">
        <v>0.4</v>
      </c>
      <c r="N344" s="4"/>
      <c r="O344" s="4"/>
      <c r="P344" s="5"/>
      <c r="Q344" s="1"/>
      <c r="R344" s="2"/>
      <c r="S344" s="2"/>
      <c r="T344" s="1"/>
      <c r="U344" s="2"/>
      <c r="V344" s="2"/>
      <c r="W344" s="2"/>
    </row>
    <row r="345" spans="1:23">
      <c r="A345" s="13">
        <v>34.299999999999997</v>
      </c>
      <c r="B345" s="13">
        <f t="shared" si="0"/>
        <v>0.89374943080052183</v>
      </c>
      <c r="C345" s="13">
        <f>IF(B345&gt;=$S$2, A345, "")</f>
        <v>34.299999999999997</v>
      </c>
      <c r="D345" s="13" t="str">
        <f>IF(AND(B345=1, B345&gt;=$S$2), A345, "")</f>
        <v/>
      </c>
      <c r="E345" s="13">
        <f>IF(B345&gt;=$S$2, B345, 0)</f>
        <v>0.89374943080052183</v>
      </c>
      <c r="F345" s="13">
        <f t="shared" si="1"/>
        <v>3.0655605476458332</v>
      </c>
      <c r="G345" s="13">
        <f t="shared" si="2"/>
        <v>8.9374943080053448E-2</v>
      </c>
      <c r="H345" s="13">
        <f>IF(B345&gt;=$T$2, A345, "")</f>
        <v>34.299999999999997</v>
      </c>
      <c r="I345" s="14">
        <f t="shared" si="13"/>
        <v>0.89374943080052183</v>
      </c>
      <c r="J345" s="14">
        <v>0.5</v>
      </c>
      <c r="K345" s="14">
        <f t="shared" si="14"/>
        <v>0.89374943080052183</v>
      </c>
      <c r="L345" s="14">
        <v>0.4</v>
      </c>
      <c r="N345" s="4"/>
      <c r="O345" s="4"/>
      <c r="P345" s="5"/>
      <c r="Q345" s="1"/>
      <c r="R345" s="2"/>
      <c r="S345" s="2"/>
      <c r="T345" s="1"/>
      <c r="U345" s="2"/>
      <c r="V345" s="2"/>
      <c r="W345" s="2"/>
    </row>
    <row r="346" spans="1:23">
      <c r="A346" s="13">
        <v>34.4</v>
      </c>
      <c r="B346" s="13">
        <f t="shared" si="0"/>
        <v>0.90892808354330457</v>
      </c>
      <c r="C346" s="13">
        <f>IF(B346&gt;=$S$2, A346, "")</f>
        <v>34.4</v>
      </c>
      <c r="D346" s="13" t="str">
        <f>IF(AND(B346=1, B346&gt;=$S$2), A346, "")</f>
        <v/>
      </c>
      <c r="E346" s="13">
        <f>IF(B346&gt;=$S$2, B346, 0)</f>
        <v>0.90892808354330457</v>
      </c>
      <c r="F346" s="13">
        <f t="shared" si="1"/>
        <v>3.1267126073890119</v>
      </c>
      <c r="G346" s="13">
        <f t="shared" si="2"/>
        <v>9.089280835433175E-2</v>
      </c>
      <c r="H346" s="13">
        <f>IF(B346&gt;=$T$2, A346, "")</f>
        <v>34.4</v>
      </c>
      <c r="I346" s="14">
        <f t="shared" si="13"/>
        <v>0.90892808354330457</v>
      </c>
      <c r="J346" s="14">
        <v>0.5</v>
      </c>
      <c r="K346" s="14">
        <f t="shared" si="14"/>
        <v>0.90892808354330457</v>
      </c>
      <c r="L346" s="14">
        <v>0.4</v>
      </c>
      <c r="N346" s="4"/>
      <c r="O346" s="4"/>
      <c r="P346" s="5"/>
      <c r="Q346" s="1"/>
      <c r="R346" s="2"/>
      <c r="S346" s="2"/>
      <c r="T346" s="1"/>
      <c r="U346" s="2"/>
      <c r="V346" s="2"/>
      <c r="W346" s="2"/>
    </row>
    <row r="347" spans="1:23">
      <c r="A347" s="13">
        <v>34.5</v>
      </c>
      <c r="B347" s="13">
        <f t="shared" si="0"/>
        <v>0.92410673628608742</v>
      </c>
      <c r="C347" s="13">
        <f>IF(B347&gt;=$S$2, A347, "")</f>
        <v>34.5</v>
      </c>
      <c r="D347" s="13" t="str">
        <f>IF(AND(B347=1, B347&gt;=$S$2), A347, "")</f>
        <v/>
      </c>
      <c r="E347" s="13">
        <f>IF(B347&gt;=$S$2, B347, 0)</f>
        <v>0.92410673628608742</v>
      </c>
      <c r="F347" s="13">
        <f t="shared" si="1"/>
        <v>3.1881682401870468</v>
      </c>
      <c r="G347" s="13">
        <f t="shared" si="2"/>
        <v>9.2410673628610052E-2</v>
      </c>
      <c r="H347" s="13">
        <f>IF(B347&gt;=$T$2, A347, "")</f>
        <v>34.5</v>
      </c>
      <c r="I347" s="14">
        <f t="shared" si="13"/>
        <v>0.92410673628608742</v>
      </c>
      <c r="J347" s="14">
        <v>0.5</v>
      </c>
      <c r="K347" s="14">
        <f t="shared" si="14"/>
        <v>0.92410673628608742</v>
      </c>
      <c r="L347" s="14">
        <v>0.4</v>
      </c>
      <c r="N347" s="4"/>
      <c r="O347" s="4"/>
      <c r="P347" s="5"/>
      <c r="Q347" s="1"/>
      <c r="R347" s="2"/>
      <c r="S347" s="2"/>
      <c r="T347" s="1"/>
      <c r="U347" s="2"/>
      <c r="V347" s="2"/>
      <c r="W347" s="2"/>
    </row>
    <row r="348" spans="1:23">
      <c r="A348" s="13">
        <v>34.6</v>
      </c>
      <c r="B348" s="13">
        <f t="shared" si="0"/>
        <v>0.93928538902887015</v>
      </c>
      <c r="C348" s="13">
        <f>IF(B348&gt;=$S$2, A348, "")</f>
        <v>34.6</v>
      </c>
      <c r="D348" s="13" t="str">
        <f>IF(AND(B348=1, B348&gt;=$S$2), A348, "")</f>
        <v/>
      </c>
      <c r="E348" s="13">
        <f>IF(B348&gt;=$S$2, B348, 0)</f>
        <v>0.93928538902887015</v>
      </c>
      <c r="F348" s="13">
        <f t="shared" si="1"/>
        <v>3.249927446039937</v>
      </c>
      <c r="G348" s="13">
        <f t="shared" si="2"/>
        <v>9.3928538902888353E-2</v>
      </c>
      <c r="H348" s="13">
        <f>IF(B348&gt;=$T$2, A348, "")</f>
        <v>34.6</v>
      </c>
      <c r="I348" s="14">
        <f t="shared" si="13"/>
        <v>0.93928538902887015</v>
      </c>
      <c r="J348" s="14">
        <v>0.5</v>
      </c>
      <c r="K348" s="14">
        <f t="shared" si="14"/>
        <v>0.93928538902887015</v>
      </c>
      <c r="L348" s="14">
        <v>0.4</v>
      </c>
      <c r="N348" s="4"/>
      <c r="O348" s="4"/>
      <c r="P348" s="5"/>
      <c r="Q348" s="1"/>
      <c r="R348" s="2"/>
      <c r="S348" s="2"/>
      <c r="T348" s="1"/>
      <c r="U348" s="2"/>
      <c r="V348" s="2"/>
      <c r="W348" s="2"/>
    </row>
    <row r="349" spans="1:23">
      <c r="A349" s="13">
        <v>34.700000000000003</v>
      </c>
      <c r="B349" s="13">
        <f t="shared" si="0"/>
        <v>0.95446404177165289</v>
      </c>
      <c r="C349" s="13">
        <f>IF(B349&gt;=$S$2, A349, "")</f>
        <v>34.700000000000003</v>
      </c>
      <c r="D349" s="13" t="str">
        <f>IF(AND(B349=1, B349&gt;=$S$2), A349, "")</f>
        <v/>
      </c>
      <c r="E349" s="13">
        <f>IF(B349&gt;=$S$2, B349, 0)</f>
        <v>0.95446404177165289</v>
      </c>
      <c r="F349" s="13">
        <f t="shared" si="1"/>
        <v>3.311990224947448</v>
      </c>
      <c r="G349" s="13">
        <f t="shared" si="2"/>
        <v>9.5446404177159869E-2</v>
      </c>
      <c r="H349" s="13">
        <f>IF(B349&gt;=$T$2, A349, "")</f>
        <v>34.700000000000003</v>
      </c>
      <c r="I349" s="14">
        <f t="shared" si="13"/>
        <v>0.95446404177165289</v>
      </c>
      <c r="J349" s="14">
        <v>0.5</v>
      </c>
      <c r="K349" s="14">
        <f t="shared" si="14"/>
        <v>0.95446404177165289</v>
      </c>
      <c r="L349" s="14">
        <v>0.4</v>
      </c>
      <c r="N349" s="4"/>
      <c r="O349" s="4"/>
      <c r="P349" s="5"/>
      <c r="Q349" s="1"/>
      <c r="R349" s="2"/>
      <c r="S349" s="2"/>
      <c r="T349" s="1"/>
      <c r="U349" s="2"/>
      <c r="V349" s="2"/>
      <c r="W349" s="2"/>
    </row>
    <row r="350" spans="1:23">
      <c r="A350" s="13">
        <v>34.799999999999997</v>
      </c>
      <c r="B350" s="13">
        <f t="shared" si="0"/>
        <v>0.96964269451443463</v>
      </c>
      <c r="C350" s="13">
        <f>IF(B350&gt;=$S$2, A350, "")</f>
        <v>34.799999999999997</v>
      </c>
      <c r="D350" s="13" t="str">
        <f>IF(AND(B350=1, B350&gt;=$S$2), A350, "")</f>
        <v/>
      </c>
      <c r="E350" s="13">
        <f>IF(B350&gt;=$S$2, B350, 0)</f>
        <v>0.96964269451443463</v>
      </c>
      <c r="F350" s="13">
        <f t="shared" si="1"/>
        <v>3.3743565769102806</v>
      </c>
      <c r="G350" s="13">
        <f t="shared" si="2"/>
        <v>9.6964269451444846E-2</v>
      </c>
      <c r="H350" s="13">
        <f>IF(B350&gt;=$T$2, A350, "")</f>
        <v>34.799999999999997</v>
      </c>
      <c r="I350" s="14">
        <f t="shared" si="13"/>
        <v>0.96964269451443463</v>
      </c>
      <c r="J350" s="14">
        <v>0.5</v>
      </c>
      <c r="K350" s="14">
        <f t="shared" si="14"/>
        <v>0.96964269451443463</v>
      </c>
      <c r="L350" s="14">
        <v>0.4</v>
      </c>
      <c r="N350" s="4"/>
      <c r="O350" s="4"/>
      <c r="P350" s="5"/>
      <c r="Q350" s="1"/>
      <c r="R350" s="2"/>
      <c r="S350" s="2"/>
      <c r="T350" s="1"/>
      <c r="U350" s="2"/>
      <c r="V350" s="2"/>
      <c r="W350" s="2"/>
    </row>
    <row r="351" spans="1:23">
      <c r="A351" s="13">
        <v>34.9</v>
      </c>
      <c r="B351" s="13">
        <f t="shared" si="0"/>
        <v>0.98482134725721737</v>
      </c>
      <c r="C351" s="13">
        <f>IF(B351&gt;=$S$2, A351, "")</f>
        <v>34.9</v>
      </c>
      <c r="D351" s="13" t="str">
        <f>IF(AND(B351=1, B351&gt;=$S$2), A351, "")</f>
        <v/>
      </c>
      <c r="E351" s="13">
        <f>IF(B351&gt;=$S$2, B351, 0)</f>
        <v>0.98482134725721737</v>
      </c>
      <c r="F351" s="13">
        <f t="shared" si="1"/>
        <v>3.4370265019277375</v>
      </c>
      <c r="G351" s="13">
        <f t="shared" si="2"/>
        <v>9.8482134725723133E-2</v>
      </c>
      <c r="H351" s="13">
        <f>IF(B351&gt;=$T$2, A351, "")</f>
        <v>34.9</v>
      </c>
      <c r="I351" s="14">
        <f t="shared" si="13"/>
        <v>0.98482134725721737</v>
      </c>
      <c r="J351" s="14">
        <v>0.5</v>
      </c>
      <c r="K351" s="14">
        <f t="shared" si="14"/>
        <v>0.98482134725721737</v>
      </c>
      <c r="L351" s="14">
        <v>0.4</v>
      </c>
      <c r="N351" s="4"/>
      <c r="O351" s="4"/>
      <c r="P351" s="5"/>
      <c r="Q351" s="1"/>
      <c r="R351" s="2"/>
      <c r="S351" s="2"/>
      <c r="T351" s="1"/>
      <c r="U351" s="2"/>
      <c r="V351" s="2"/>
      <c r="W351" s="2"/>
    </row>
    <row r="352" spans="1:23">
      <c r="A352" s="13">
        <v>35</v>
      </c>
      <c r="B352" s="13">
        <f t="shared" si="0"/>
        <v>1</v>
      </c>
      <c r="C352" s="13">
        <f>IF(B352&gt;=$S$2, A352, "")</f>
        <v>35</v>
      </c>
      <c r="D352" s="13">
        <f>IF(AND(B352=1, B352&gt;=$S$2), A352, "")</f>
        <v>35</v>
      </c>
      <c r="E352" s="13">
        <f>IF(B352&gt;=$S$2, B352, 0)</f>
        <v>1</v>
      </c>
      <c r="F352" s="13">
        <f t="shared" si="1"/>
        <v>3.5000000000000497</v>
      </c>
      <c r="G352" s="13">
        <f t="shared" si="2"/>
        <v>0.10000000000000142</v>
      </c>
      <c r="H352" s="13">
        <f>IF(B352&gt;=$T$2, A352, "")</f>
        <v>35</v>
      </c>
      <c r="I352" s="14">
        <f t="shared" si="13"/>
        <v>1</v>
      </c>
      <c r="J352" s="14">
        <v>0.5</v>
      </c>
      <c r="K352" s="14">
        <f t="shared" si="14"/>
        <v>1</v>
      </c>
      <c r="L352" s="14">
        <v>0.4</v>
      </c>
      <c r="N352" s="4"/>
      <c r="O352" s="4"/>
      <c r="P352" s="5"/>
      <c r="Q352" s="1"/>
      <c r="R352" s="2"/>
      <c r="S352" s="2"/>
      <c r="T352" s="1"/>
      <c r="U352" s="2"/>
      <c r="V352" s="2"/>
      <c r="W352" s="2"/>
    </row>
    <row r="353" spans="1:23">
      <c r="A353" s="13">
        <v>35.1</v>
      </c>
      <c r="B353" s="13">
        <f t="shared" si="0"/>
        <v>1</v>
      </c>
      <c r="C353" s="13">
        <f>IF(B353&gt;=$S$2, A353, "")</f>
        <v>35.1</v>
      </c>
      <c r="D353" s="13">
        <f>IF(AND(B353=1, B353&gt;=$S$2), A353, "")</f>
        <v>35.1</v>
      </c>
      <c r="E353" s="13">
        <f>IF(B353&gt;=$S$2, B353, 0)</f>
        <v>1</v>
      </c>
      <c r="F353" s="13">
        <f t="shared" si="1"/>
        <v>3.51000000000005</v>
      </c>
      <c r="G353" s="13">
        <f t="shared" si="2"/>
        <v>0.10000000000000142</v>
      </c>
      <c r="H353" s="13">
        <f>IF(B353&gt;=$T$2, A353, "")</f>
        <v>35.1</v>
      </c>
      <c r="I353" s="14">
        <f t="shared" si="13"/>
        <v>1</v>
      </c>
      <c r="J353" s="14">
        <v>0.5</v>
      </c>
      <c r="K353" s="14">
        <f t="shared" si="14"/>
        <v>1</v>
      </c>
      <c r="L353" s="14">
        <v>0.4</v>
      </c>
      <c r="N353" s="4"/>
      <c r="O353" s="4"/>
      <c r="P353" s="5"/>
      <c r="Q353" s="1"/>
      <c r="R353" s="2"/>
      <c r="S353" s="2"/>
      <c r="T353" s="1"/>
      <c r="U353" s="2"/>
      <c r="V353" s="2"/>
      <c r="W353" s="2"/>
    </row>
    <row r="354" spans="1:23">
      <c r="A354" s="13">
        <v>35.200000000000003</v>
      </c>
      <c r="B354" s="13">
        <f t="shared" si="0"/>
        <v>1</v>
      </c>
      <c r="C354" s="13">
        <f>IF(B354&gt;=$S$2, A354, "")</f>
        <v>35.200000000000003</v>
      </c>
      <c r="D354" s="13">
        <f>IF(AND(B354=1, B354&gt;=$S$2), A354, "")</f>
        <v>35.200000000000003</v>
      </c>
      <c r="E354" s="13">
        <f>IF(B354&gt;=$S$2, B354, 0)</f>
        <v>1</v>
      </c>
      <c r="F354" s="13">
        <f t="shared" si="1"/>
        <v>3.5199999999998002</v>
      </c>
      <c r="G354" s="13">
        <f t="shared" si="2"/>
        <v>9.9999999999994316E-2</v>
      </c>
      <c r="H354" s="13">
        <f>IF(B354&gt;=$T$2, A354, "")</f>
        <v>35.200000000000003</v>
      </c>
      <c r="I354" s="14">
        <f t="shared" si="13"/>
        <v>1</v>
      </c>
      <c r="J354" s="14">
        <v>0.5</v>
      </c>
      <c r="K354" s="14">
        <f t="shared" si="14"/>
        <v>1</v>
      </c>
      <c r="L354" s="14">
        <v>0.4</v>
      </c>
      <c r="N354" s="4"/>
      <c r="O354" s="4"/>
      <c r="P354" s="5"/>
      <c r="Q354" s="1"/>
      <c r="R354" s="2"/>
      <c r="S354" s="2"/>
      <c r="T354" s="1"/>
      <c r="U354" s="2"/>
      <c r="V354" s="2"/>
      <c r="W354" s="2"/>
    </row>
    <row r="355" spans="1:23">
      <c r="A355" s="13">
        <v>35.299999999999997</v>
      </c>
      <c r="B355" s="13">
        <f t="shared" si="0"/>
        <v>1</v>
      </c>
      <c r="C355" s="13">
        <f>IF(B355&gt;=$S$2, A355, "")</f>
        <v>35.299999999999997</v>
      </c>
      <c r="D355" s="13">
        <f>IF(AND(B355=1, B355&gt;=$S$2), A355, "")</f>
        <v>35.299999999999997</v>
      </c>
      <c r="E355" s="13">
        <f>IF(B355&gt;=$S$2, B355, 0)</f>
        <v>1</v>
      </c>
      <c r="F355" s="13">
        <f t="shared" si="1"/>
        <v>3.53000000000005</v>
      </c>
      <c r="G355" s="13">
        <f t="shared" si="2"/>
        <v>0.10000000000000142</v>
      </c>
      <c r="H355" s="13">
        <f>IF(B355&gt;=$T$2, A355, "")</f>
        <v>35.299999999999997</v>
      </c>
      <c r="I355" s="14">
        <f t="shared" si="13"/>
        <v>1</v>
      </c>
      <c r="J355" s="14">
        <v>0.5</v>
      </c>
      <c r="K355" s="14">
        <f t="shared" si="14"/>
        <v>1</v>
      </c>
      <c r="L355" s="14">
        <v>0.4</v>
      </c>
      <c r="N355" s="4"/>
      <c r="O355" s="4"/>
      <c r="P355" s="5"/>
      <c r="Q355" s="1"/>
      <c r="R355" s="2"/>
      <c r="S355" s="2"/>
      <c r="T355" s="1"/>
      <c r="U355" s="2"/>
      <c r="V355" s="2"/>
      <c r="W355" s="2"/>
    </row>
    <row r="356" spans="1:23">
      <c r="A356" s="13">
        <v>35.4</v>
      </c>
      <c r="B356" s="13">
        <f t="shared" si="0"/>
        <v>1</v>
      </c>
      <c r="C356" s="13">
        <f>IF(B356&gt;=$S$2, A356, "")</f>
        <v>35.4</v>
      </c>
      <c r="D356" s="13">
        <f>IF(AND(B356=1, B356&gt;=$S$2), A356, "")</f>
        <v>35.4</v>
      </c>
      <c r="E356" s="13">
        <f>IF(B356&gt;=$S$2, B356, 0)</f>
        <v>1</v>
      </c>
      <c r="F356" s="13">
        <f t="shared" si="1"/>
        <v>3.5400000000000502</v>
      </c>
      <c r="G356" s="13">
        <f t="shared" si="2"/>
        <v>0.10000000000000142</v>
      </c>
      <c r="H356" s="13">
        <f>IF(B356&gt;=$T$2, A356, "")</f>
        <v>35.4</v>
      </c>
      <c r="I356" s="14">
        <f t="shared" si="13"/>
        <v>1</v>
      </c>
      <c r="J356" s="14">
        <v>0.5</v>
      </c>
      <c r="K356" s="14">
        <f t="shared" si="14"/>
        <v>1</v>
      </c>
      <c r="L356" s="14">
        <v>0.4</v>
      </c>
      <c r="N356" s="4"/>
      <c r="O356" s="4"/>
      <c r="P356" s="5"/>
      <c r="Q356" s="1"/>
      <c r="R356" s="2"/>
      <c r="S356" s="2"/>
      <c r="T356" s="1"/>
      <c r="U356" s="2"/>
      <c r="V356" s="2"/>
      <c r="W356" s="2"/>
    </row>
    <row r="357" spans="1:23">
      <c r="A357" s="13">
        <v>35.5</v>
      </c>
      <c r="B357" s="13">
        <f t="shared" si="0"/>
        <v>1</v>
      </c>
      <c r="C357" s="13">
        <f>IF(B357&gt;=$S$2, A357, "")</f>
        <v>35.5</v>
      </c>
      <c r="D357" s="13">
        <f>IF(AND(B357=1, B357&gt;=$S$2), A357, "")</f>
        <v>35.5</v>
      </c>
      <c r="E357" s="13">
        <f>IF(B357&gt;=$S$2, B357, 0)</f>
        <v>1</v>
      </c>
      <c r="F357" s="13">
        <f t="shared" si="1"/>
        <v>3.5500000000000504</v>
      </c>
      <c r="G357" s="13">
        <f t="shared" si="2"/>
        <v>0.10000000000000142</v>
      </c>
      <c r="H357" s="13">
        <f>IF(B357&gt;=$T$2, A357, "")</f>
        <v>35.5</v>
      </c>
      <c r="I357" s="14">
        <f t="shared" si="13"/>
        <v>1</v>
      </c>
      <c r="J357" s="14">
        <v>0.5</v>
      </c>
      <c r="K357" s="14">
        <f t="shared" si="14"/>
        <v>1</v>
      </c>
      <c r="L357" s="14">
        <v>0.4</v>
      </c>
      <c r="N357" s="4"/>
      <c r="O357" s="4"/>
      <c r="P357" s="5"/>
      <c r="Q357" s="1"/>
      <c r="R357" s="2"/>
      <c r="S357" s="2"/>
      <c r="T357" s="1"/>
      <c r="U357" s="2"/>
      <c r="V357" s="2"/>
      <c r="W357" s="2"/>
    </row>
    <row r="358" spans="1:23">
      <c r="A358" s="13">
        <v>35.6</v>
      </c>
      <c r="B358" s="13">
        <f t="shared" si="0"/>
        <v>1</v>
      </c>
      <c r="C358" s="13">
        <f>IF(B358&gt;=$S$2, A358, "")</f>
        <v>35.6</v>
      </c>
      <c r="D358" s="13">
        <f>IF(AND(B358=1, B358&gt;=$S$2), A358, "")</f>
        <v>35.6</v>
      </c>
      <c r="E358" s="13">
        <f>IF(B358&gt;=$S$2, B358, 0)</f>
        <v>1</v>
      </c>
      <c r="F358" s="13">
        <f t="shared" si="1"/>
        <v>3.5600000000000507</v>
      </c>
      <c r="G358" s="13">
        <f t="shared" si="2"/>
        <v>0.10000000000000142</v>
      </c>
      <c r="H358" s="13">
        <f>IF(B358&gt;=$T$2, A358, "")</f>
        <v>35.6</v>
      </c>
      <c r="I358" s="14">
        <f t="shared" si="13"/>
        <v>1</v>
      </c>
      <c r="J358" s="14">
        <v>0.5</v>
      </c>
      <c r="K358" s="14">
        <f t="shared" si="14"/>
        <v>1</v>
      </c>
      <c r="L358" s="14">
        <v>0.4</v>
      </c>
      <c r="N358" s="4"/>
      <c r="O358" s="4"/>
      <c r="P358" s="5"/>
      <c r="Q358" s="1"/>
      <c r="R358" s="2"/>
      <c r="S358" s="2"/>
      <c r="T358" s="1"/>
      <c r="U358" s="2"/>
      <c r="V358" s="2"/>
      <c r="W358" s="2"/>
    </row>
    <row r="359" spans="1:23">
      <c r="A359" s="13">
        <v>35.700000000000003</v>
      </c>
      <c r="B359" s="13">
        <f t="shared" si="0"/>
        <v>1</v>
      </c>
      <c r="C359" s="13">
        <f>IF(B359&gt;=$S$2, A359, "")</f>
        <v>35.700000000000003</v>
      </c>
      <c r="D359" s="13">
        <f>IF(AND(B359=1, B359&gt;=$S$2), A359, "")</f>
        <v>35.700000000000003</v>
      </c>
      <c r="E359" s="13">
        <f>IF(B359&gt;=$S$2, B359, 0)</f>
        <v>1</v>
      </c>
      <c r="F359" s="13">
        <f t="shared" si="1"/>
        <v>3.5699999999997973</v>
      </c>
      <c r="G359" s="13">
        <f t="shared" si="2"/>
        <v>9.9999999999994316E-2</v>
      </c>
      <c r="H359" s="13">
        <f>IF(B359&gt;=$T$2, A359, "")</f>
        <v>35.700000000000003</v>
      </c>
      <c r="I359" s="14">
        <f t="shared" si="13"/>
        <v>1</v>
      </c>
      <c r="J359" s="14">
        <v>0.5</v>
      </c>
      <c r="K359" s="14">
        <f t="shared" si="14"/>
        <v>1</v>
      </c>
      <c r="L359" s="14">
        <v>0.4</v>
      </c>
      <c r="N359" s="4"/>
      <c r="O359" s="4"/>
      <c r="P359" s="5"/>
      <c r="Q359" s="1"/>
      <c r="R359" s="2"/>
      <c r="S359" s="2"/>
      <c r="T359" s="1"/>
      <c r="U359" s="2"/>
      <c r="V359" s="2"/>
      <c r="W359" s="2"/>
    </row>
    <row r="360" spans="1:23">
      <c r="A360" s="13">
        <v>35.799999999999997</v>
      </c>
      <c r="B360" s="13">
        <f t="shared" si="0"/>
        <v>1</v>
      </c>
      <c r="C360" s="13">
        <f>IF(B360&gt;=$S$2, A360, "")</f>
        <v>35.799999999999997</v>
      </c>
      <c r="D360" s="13">
        <f>IF(AND(B360=1, B360&gt;=$S$2), A360, "")</f>
        <v>35.799999999999997</v>
      </c>
      <c r="E360" s="13">
        <f>IF(B360&gt;=$S$2, B360, 0)</f>
        <v>1</v>
      </c>
      <c r="F360" s="13">
        <f t="shared" si="1"/>
        <v>3.5800000000000507</v>
      </c>
      <c r="G360" s="13">
        <f t="shared" si="2"/>
        <v>0.10000000000000142</v>
      </c>
      <c r="H360" s="13">
        <f>IF(B360&gt;=$T$2, A360, "")</f>
        <v>35.799999999999997</v>
      </c>
      <c r="I360" s="14">
        <f t="shared" si="13"/>
        <v>1</v>
      </c>
      <c r="J360" s="14">
        <v>0.5</v>
      </c>
      <c r="K360" s="14">
        <f t="shared" si="14"/>
        <v>1</v>
      </c>
      <c r="L360" s="14">
        <v>0.4</v>
      </c>
      <c r="N360" s="4"/>
      <c r="O360" s="4"/>
      <c r="P360" s="5"/>
      <c r="Q360" s="1"/>
      <c r="R360" s="2"/>
      <c r="S360" s="2"/>
      <c r="T360" s="1"/>
      <c r="U360" s="2"/>
      <c r="V360" s="2"/>
      <c r="W360" s="2"/>
    </row>
    <row r="361" spans="1:23">
      <c r="A361" s="13">
        <v>35.9</v>
      </c>
      <c r="B361" s="13">
        <f t="shared" si="0"/>
        <v>1</v>
      </c>
      <c r="C361" s="13">
        <f>IF(B361&gt;=$S$2, A361, "")</f>
        <v>35.9</v>
      </c>
      <c r="D361" s="13">
        <f>IF(AND(B361=1, B361&gt;=$S$2), A361, "")</f>
        <v>35.9</v>
      </c>
      <c r="E361" s="13">
        <f>IF(B361&gt;=$S$2, B361, 0)</f>
        <v>1</v>
      </c>
      <c r="F361" s="13">
        <f t="shared" si="1"/>
        <v>3.5900000000000509</v>
      </c>
      <c r="G361" s="13">
        <f t="shared" si="2"/>
        <v>0.10000000000000142</v>
      </c>
      <c r="H361" s="13">
        <f>IF(B361&gt;=$T$2, A361, "")</f>
        <v>35.9</v>
      </c>
      <c r="I361" s="14">
        <f t="shared" si="13"/>
        <v>1</v>
      </c>
      <c r="J361" s="14">
        <v>0.5</v>
      </c>
      <c r="K361" s="14">
        <f t="shared" si="14"/>
        <v>1</v>
      </c>
      <c r="L361" s="14">
        <v>0.4</v>
      </c>
      <c r="N361" s="4"/>
      <c r="O361" s="4"/>
      <c r="P361" s="5"/>
      <c r="Q361" s="1"/>
      <c r="R361" s="2"/>
      <c r="S361" s="2"/>
      <c r="T361" s="1"/>
      <c r="U361" s="2"/>
      <c r="V361" s="2"/>
      <c r="W361" s="2"/>
    </row>
    <row r="362" spans="1:23">
      <c r="A362" s="13">
        <v>36</v>
      </c>
      <c r="B362" s="13">
        <f t="shared" si="0"/>
        <v>1</v>
      </c>
      <c r="C362" s="13">
        <f>IF(B362&gt;=$S$2, A362, "")</f>
        <v>36</v>
      </c>
      <c r="D362" s="13">
        <f>IF(AND(B362=1, B362&gt;=$S$2), A362, "")</f>
        <v>36</v>
      </c>
      <c r="E362" s="13">
        <f>IF(B362&gt;=$S$2, B362, 0)</f>
        <v>1</v>
      </c>
      <c r="F362" s="13">
        <f t="shared" si="1"/>
        <v>3.6000000000000512</v>
      </c>
      <c r="G362" s="13">
        <f t="shared" si="2"/>
        <v>0.10000000000000142</v>
      </c>
      <c r="H362" s="13">
        <f>IF(B362&gt;=$T$2, A362, "")</f>
        <v>36</v>
      </c>
      <c r="I362" s="14">
        <f t="shared" si="13"/>
        <v>1</v>
      </c>
      <c r="J362" s="14">
        <v>0.5</v>
      </c>
      <c r="K362" s="14">
        <f t="shared" si="14"/>
        <v>1</v>
      </c>
      <c r="L362" s="14">
        <v>0.4</v>
      </c>
      <c r="N362" s="4"/>
      <c r="O362" s="4"/>
      <c r="P362" s="5"/>
      <c r="Q362" s="1"/>
      <c r="R362" s="2"/>
      <c r="S362" s="2"/>
      <c r="T362" s="1"/>
      <c r="U362" s="2"/>
      <c r="V362" s="2"/>
      <c r="W362" s="2"/>
    </row>
    <row r="363" spans="1:23">
      <c r="A363" s="13">
        <v>36.1</v>
      </c>
      <c r="B363" s="13">
        <f t="shared" si="0"/>
        <v>1</v>
      </c>
      <c r="C363" s="13">
        <f>IF(B363&gt;=$S$2, A363, "")</f>
        <v>36.1</v>
      </c>
      <c r="D363" s="13">
        <f>IF(AND(B363=1, B363&gt;=$S$2), A363, "")</f>
        <v>36.1</v>
      </c>
      <c r="E363" s="13">
        <f>IF(B363&gt;=$S$2, B363, 0)</f>
        <v>1</v>
      </c>
      <c r="F363" s="13">
        <f t="shared" si="1"/>
        <v>3.6100000000000514</v>
      </c>
      <c r="G363" s="13">
        <f t="shared" si="2"/>
        <v>0.10000000000000142</v>
      </c>
      <c r="H363" s="13">
        <f>IF(B363&gt;=$T$2, A363, "")</f>
        <v>36.1</v>
      </c>
      <c r="I363" s="14">
        <f t="shared" si="13"/>
        <v>1</v>
      </c>
      <c r="J363" s="14">
        <v>0.5</v>
      </c>
      <c r="K363" s="14">
        <f t="shared" si="14"/>
        <v>1</v>
      </c>
      <c r="L363" s="14">
        <v>0.4</v>
      </c>
      <c r="N363" s="4"/>
      <c r="O363" s="4"/>
      <c r="P363" s="5"/>
      <c r="Q363" s="1"/>
      <c r="R363" s="2"/>
      <c r="S363" s="2"/>
      <c r="T363" s="1"/>
      <c r="U363" s="2"/>
      <c r="V363" s="2"/>
      <c r="W363" s="2"/>
    </row>
    <row r="364" spans="1:23">
      <c r="A364" s="13">
        <v>36.200000000000003</v>
      </c>
      <c r="B364" s="13">
        <f t="shared" si="0"/>
        <v>1</v>
      </c>
      <c r="C364" s="13">
        <f>IF(B364&gt;=$S$2, A364, "")</f>
        <v>36.200000000000003</v>
      </c>
      <c r="D364" s="13">
        <f>IF(AND(B364=1, B364&gt;=$S$2), A364, "")</f>
        <v>36.200000000000003</v>
      </c>
      <c r="E364" s="13">
        <f>IF(B364&gt;=$S$2, B364, 0)</f>
        <v>1</v>
      </c>
      <c r="F364" s="13">
        <f t="shared" si="1"/>
        <v>3.6199999999997945</v>
      </c>
      <c r="G364" s="13">
        <f t="shared" si="2"/>
        <v>9.9999999999994316E-2</v>
      </c>
      <c r="H364" s="13">
        <f>IF(B364&gt;=$T$2, A364, "")</f>
        <v>36.200000000000003</v>
      </c>
      <c r="I364" s="14">
        <f t="shared" si="13"/>
        <v>1</v>
      </c>
      <c r="J364" s="14">
        <v>0.5</v>
      </c>
      <c r="K364" s="14">
        <f t="shared" si="14"/>
        <v>1</v>
      </c>
      <c r="L364" s="14">
        <v>0.4</v>
      </c>
      <c r="N364" s="4"/>
      <c r="O364" s="4"/>
      <c r="P364" s="5"/>
      <c r="Q364" s="1"/>
      <c r="R364" s="2"/>
      <c r="S364" s="2"/>
      <c r="T364" s="1"/>
      <c r="U364" s="2"/>
      <c r="V364" s="2"/>
      <c r="W364" s="2"/>
    </row>
    <row r="365" spans="1:23">
      <c r="A365" s="13">
        <v>36.299999999999997</v>
      </c>
      <c r="B365" s="13">
        <f t="shared" si="0"/>
        <v>1</v>
      </c>
      <c r="C365" s="13">
        <f>IF(B365&gt;=$S$2, A365, "")</f>
        <v>36.299999999999997</v>
      </c>
      <c r="D365" s="13">
        <f>IF(AND(B365=1, B365&gt;=$S$2), A365, "")</f>
        <v>36.299999999999997</v>
      </c>
      <c r="E365" s="13">
        <f>IF(B365&gt;=$S$2, B365, 0)</f>
        <v>1</v>
      </c>
      <c r="F365" s="13">
        <f t="shared" si="1"/>
        <v>3.6300000000000514</v>
      </c>
      <c r="G365" s="13">
        <f t="shared" si="2"/>
        <v>0.10000000000000142</v>
      </c>
      <c r="H365" s="13">
        <f>IF(B365&gt;=$T$2, A365, "")</f>
        <v>36.299999999999997</v>
      </c>
      <c r="I365" s="14">
        <f t="shared" si="13"/>
        <v>1</v>
      </c>
      <c r="J365" s="14">
        <v>0.5</v>
      </c>
      <c r="K365" s="14">
        <f t="shared" si="14"/>
        <v>1</v>
      </c>
      <c r="L365" s="14">
        <v>0.4</v>
      </c>
      <c r="N365" s="4"/>
      <c r="O365" s="4"/>
      <c r="P365" s="5"/>
      <c r="Q365" s="1"/>
      <c r="R365" s="2"/>
      <c r="S365" s="2"/>
      <c r="T365" s="1"/>
      <c r="U365" s="2"/>
      <c r="V365" s="2"/>
      <c r="W365" s="2"/>
    </row>
    <row r="366" spans="1:23">
      <c r="A366" s="13">
        <v>36.4</v>
      </c>
      <c r="B366" s="13">
        <f t="shared" si="0"/>
        <v>1</v>
      </c>
      <c r="C366" s="13">
        <f>IF(B366&gt;=$S$2, A366, "")</f>
        <v>36.4</v>
      </c>
      <c r="D366" s="13">
        <f>IF(AND(B366=1, B366&gt;=$S$2), A366, "")</f>
        <v>36.4</v>
      </c>
      <c r="E366" s="13">
        <f>IF(B366&gt;=$S$2, B366, 0)</f>
        <v>1</v>
      </c>
      <c r="F366" s="13">
        <f t="shared" si="1"/>
        <v>3.6400000000000516</v>
      </c>
      <c r="G366" s="13">
        <f t="shared" si="2"/>
        <v>0.10000000000000142</v>
      </c>
      <c r="H366" s="13">
        <f>IF(B366&gt;=$T$2, A366, "")</f>
        <v>36.4</v>
      </c>
      <c r="I366" s="14">
        <f t="shared" si="13"/>
        <v>1</v>
      </c>
      <c r="J366" s="14">
        <v>0.5</v>
      </c>
      <c r="K366" s="14">
        <f t="shared" si="14"/>
        <v>1</v>
      </c>
      <c r="L366" s="14">
        <v>0.4</v>
      </c>
      <c r="N366" s="4"/>
      <c r="O366" s="4"/>
      <c r="P366" s="5"/>
      <c r="Q366" s="1"/>
      <c r="R366" s="2"/>
      <c r="S366" s="2"/>
      <c r="T366" s="1"/>
      <c r="U366" s="2"/>
      <c r="V366" s="2"/>
      <c r="W366" s="2"/>
    </row>
    <row r="367" spans="1:23">
      <c r="A367" s="13">
        <v>36.5</v>
      </c>
      <c r="B367" s="13">
        <f t="shared" si="0"/>
        <v>1</v>
      </c>
      <c r="C367" s="13">
        <f>IF(B367&gt;=$S$2, A367, "")</f>
        <v>36.5</v>
      </c>
      <c r="D367" s="13">
        <f>IF(AND(B367=1, B367&gt;=$S$2), A367, "")</f>
        <v>36.5</v>
      </c>
      <c r="E367" s="13">
        <f>IF(B367&gt;=$S$2, B367, 0)</f>
        <v>1</v>
      </c>
      <c r="F367" s="13">
        <f t="shared" si="1"/>
        <v>3.6500000000000519</v>
      </c>
      <c r="G367" s="13">
        <f t="shared" si="2"/>
        <v>0.10000000000000142</v>
      </c>
      <c r="H367" s="13">
        <f>IF(B367&gt;=$T$2, A367, "")</f>
        <v>36.5</v>
      </c>
      <c r="I367" s="14">
        <f t="shared" si="13"/>
        <v>1</v>
      </c>
      <c r="J367" s="14">
        <v>0.5</v>
      </c>
      <c r="K367" s="14">
        <f t="shared" si="14"/>
        <v>1</v>
      </c>
      <c r="L367" s="14">
        <v>0.4</v>
      </c>
      <c r="N367" s="4"/>
      <c r="O367" s="4"/>
      <c r="P367" s="5"/>
      <c r="Q367" s="1"/>
      <c r="R367" s="2"/>
      <c r="S367" s="2"/>
      <c r="T367" s="1"/>
      <c r="U367" s="2"/>
      <c r="V367" s="2"/>
      <c r="W367" s="2"/>
    </row>
    <row r="368" spans="1:23">
      <c r="A368" s="13">
        <v>36.6</v>
      </c>
      <c r="B368" s="13">
        <f t="shared" si="0"/>
        <v>1</v>
      </c>
      <c r="C368" s="13">
        <f>IF(B368&gt;=$S$2, A368, "")</f>
        <v>36.6</v>
      </c>
      <c r="D368" s="13">
        <f>IF(AND(B368=1, B368&gt;=$S$2), A368, "")</f>
        <v>36.6</v>
      </c>
      <c r="E368" s="13">
        <f>IF(B368&gt;=$S$2, B368, 0)</f>
        <v>1</v>
      </c>
      <c r="F368" s="13">
        <f t="shared" si="1"/>
        <v>3.6600000000000521</v>
      </c>
      <c r="G368" s="13">
        <f t="shared" si="2"/>
        <v>0.10000000000000142</v>
      </c>
      <c r="H368" s="13">
        <f>IF(B368&gt;=$T$2, A368, "")</f>
        <v>36.6</v>
      </c>
      <c r="I368" s="14">
        <f t="shared" si="13"/>
        <v>1</v>
      </c>
      <c r="J368" s="14">
        <v>0.5</v>
      </c>
      <c r="K368" s="14">
        <f t="shared" si="14"/>
        <v>1</v>
      </c>
      <c r="L368" s="14">
        <v>0.4</v>
      </c>
      <c r="N368" s="4"/>
      <c r="O368" s="4"/>
      <c r="P368" s="5"/>
      <c r="Q368" s="1"/>
      <c r="R368" s="2"/>
      <c r="S368" s="2"/>
      <c r="T368" s="1"/>
      <c r="U368" s="2"/>
      <c r="V368" s="2"/>
      <c r="W368" s="2"/>
    </row>
    <row r="369" spans="1:23">
      <c r="A369" s="13">
        <v>36.700000000000003</v>
      </c>
      <c r="B369" s="13">
        <f t="shared" si="0"/>
        <v>1</v>
      </c>
      <c r="C369" s="13">
        <f>IF(B369&gt;=$S$2, A369, "")</f>
        <v>36.700000000000003</v>
      </c>
      <c r="D369" s="13">
        <f>IF(AND(B369=1, B369&gt;=$S$2), A369, "")</f>
        <v>36.700000000000003</v>
      </c>
      <c r="E369" s="13">
        <f>IF(B369&gt;=$S$2, B369, 0)</f>
        <v>1</v>
      </c>
      <c r="F369" s="13">
        <f t="shared" si="1"/>
        <v>3.6699999999997917</v>
      </c>
      <c r="G369" s="13">
        <f t="shared" si="2"/>
        <v>9.9999999999994316E-2</v>
      </c>
      <c r="H369" s="13">
        <f>IF(B369&gt;=$T$2, A369, "")</f>
        <v>36.700000000000003</v>
      </c>
      <c r="I369" s="14">
        <f t="shared" si="13"/>
        <v>1</v>
      </c>
      <c r="J369" s="14">
        <v>0.5</v>
      </c>
      <c r="K369" s="14">
        <f t="shared" si="14"/>
        <v>1</v>
      </c>
      <c r="L369" s="14">
        <v>0.4</v>
      </c>
      <c r="N369" s="4"/>
      <c r="O369" s="4"/>
      <c r="P369" s="5"/>
      <c r="Q369" s="1"/>
      <c r="R369" s="2"/>
      <c r="S369" s="2"/>
      <c r="T369" s="1"/>
      <c r="U369" s="2"/>
      <c r="V369" s="2"/>
      <c r="W369" s="2"/>
    </row>
    <row r="370" spans="1:23">
      <c r="A370" s="13">
        <v>36.799999999999997</v>
      </c>
      <c r="B370" s="13">
        <f t="shared" si="0"/>
        <v>1</v>
      </c>
      <c r="C370" s="13">
        <f>IF(B370&gt;=$S$2, A370, "")</f>
        <v>36.799999999999997</v>
      </c>
      <c r="D370" s="13">
        <f>IF(AND(B370=1, B370&gt;=$S$2), A370, "")</f>
        <v>36.799999999999997</v>
      </c>
      <c r="E370" s="13">
        <f>IF(B370&gt;=$S$2, B370, 0)</f>
        <v>1</v>
      </c>
      <c r="F370" s="13">
        <f t="shared" si="1"/>
        <v>3.6800000000000521</v>
      </c>
      <c r="G370" s="13">
        <f t="shared" si="2"/>
        <v>0.10000000000000142</v>
      </c>
      <c r="H370" s="13">
        <f>IF(B370&gt;=$T$2, A370, "")</f>
        <v>36.799999999999997</v>
      </c>
      <c r="I370" s="14">
        <f t="shared" si="13"/>
        <v>1</v>
      </c>
      <c r="J370" s="14">
        <v>0.5</v>
      </c>
      <c r="K370" s="14">
        <f t="shared" si="14"/>
        <v>1</v>
      </c>
      <c r="L370" s="14">
        <v>0.4</v>
      </c>
      <c r="N370" s="4"/>
      <c r="O370" s="4"/>
      <c r="P370" s="5"/>
      <c r="Q370" s="1"/>
      <c r="R370" s="2"/>
      <c r="S370" s="2"/>
      <c r="T370" s="1"/>
      <c r="U370" s="2"/>
      <c r="V370" s="2"/>
      <c r="W370" s="2"/>
    </row>
    <row r="371" spans="1:23">
      <c r="A371" s="13">
        <v>36.9</v>
      </c>
      <c r="B371" s="13">
        <f t="shared" si="0"/>
        <v>1</v>
      </c>
      <c r="C371" s="13">
        <f>IF(B371&gt;=$S$2, A371, "")</f>
        <v>36.9</v>
      </c>
      <c r="D371" s="13">
        <f>IF(AND(B371=1, B371&gt;=$S$2), A371, "")</f>
        <v>36.9</v>
      </c>
      <c r="E371" s="13">
        <f>IF(B371&gt;=$S$2, B371, 0)</f>
        <v>1</v>
      </c>
      <c r="F371" s="13">
        <f t="shared" si="1"/>
        <v>3.6900000000000523</v>
      </c>
      <c r="G371" s="13">
        <f t="shared" si="2"/>
        <v>0.10000000000000142</v>
      </c>
      <c r="H371" s="13">
        <f>IF(B371&gt;=$T$2, A371, "")</f>
        <v>36.9</v>
      </c>
      <c r="I371" s="14">
        <f t="shared" si="13"/>
        <v>1</v>
      </c>
      <c r="J371" s="14">
        <v>0.5</v>
      </c>
      <c r="K371" s="14">
        <f t="shared" si="14"/>
        <v>1</v>
      </c>
      <c r="L371" s="14">
        <v>0.4</v>
      </c>
      <c r="N371" s="4"/>
      <c r="O371" s="4"/>
      <c r="P371" s="5"/>
      <c r="Q371" s="1"/>
      <c r="R371" s="2"/>
      <c r="S371" s="2"/>
      <c r="T371" s="1"/>
      <c r="U371" s="2"/>
      <c r="V371" s="2"/>
      <c r="W371" s="2"/>
    </row>
    <row r="372" spans="1:23">
      <c r="A372" s="13">
        <v>37</v>
      </c>
      <c r="B372" s="13">
        <f t="shared" si="0"/>
        <v>1</v>
      </c>
      <c r="C372" s="13">
        <f>IF(B372&gt;=$S$2, A372, "")</f>
        <v>37</v>
      </c>
      <c r="D372" s="13">
        <f>IF(AND(B372=1, B372&gt;=$S$2), A372, "")</f>
        <v>37</v>
      </c>
      <c r="E372" s="13">
        <f>IF(B372&gt;=$S$2, B372, 0)</f>
        <v>1</v>
      </c>
      <c r="F372" s="13">
        <f t="shared" si="1"/>
        <v>3.7000000000000526</v>
      </c>
      <c r="G372" s="13">
        <f t="shared" si="2"/>
        <v>0.10000000000000142</v>
      </c>
      <c r="H372" s="13">
        <f>IF(B372&gt;=$T$2, A372, "")</f>
        <v>37</v>
      </c>
      <c r="I372" s="14">
        <f t="shared" si="13"/>
        <v>1</v>
      </c>
      <c r="J372" s="14">
        <v>0.5</v>
      </c>
      <c r="K372" s="14">
        <f t="shared" si="14"/>
        <v>1</v>
      </c>
      <c r="L372" s="14">
        <v>0.4</v>
      </c>
      <c r="N372" s="4"/>
      <c r="O372" s="4"/>
      <c r="P372" s="5"/>
      <c r="Q372" s="1"/>
      <c r="R372" s="2"/>
      <c r="S372" s="2"/>
      <c r="T372" s="1"/>
      <c r="U372" s="2"/>
      <c r="V372" s="2"/>
      <c r="W372" s="2"/>
    </row>
    <row r="373" spans="1:23">
      <c r="A373" s="13">
        <v>37.1</v>
      </c>
      <c r="B373" s="13">
        <f t="shared" si="0"/>
        <v>1</v>
      </c>
      <c r="C373" s="13">
        <f>IF(B373&gt;=$S$2, A373, "")</f>
        <v>37.1</v>
      </c>
      <c r="D373" s="13">
        <f>IF(AND(B373=1, B373&gt;=$S$2), A373, "")</f>
        <v>37.1</v>
      </c>
      <c r="E373" s="13">
        <f>IF(B373&gt;=$S$2, B373, 0)</f>
        <v>1</v>
      </c>
      <c r="F373" s="13">
        <f t="shared" si="1"/>
        <v>3.7100000000000528</v>
      </c>
      <c r="G373" s="13">
        <f t="shared" si="2"/>
        <v>0.10000000000000142</v>
      </c>
      <c r="H373" s="13">
        <f>IF(B373&gt;=$T$2, A373, "")</f>
        <v>37.1</v>
      </c>
      <c r="I373" s="14">
        <f t="shared" si="13"/>
        <v>1</v>
      </c>
      <c r="J373" s="14">
        <v>0.5</v>
      </c>
      <c r="K373" s="14">
        <f t="shared" si="14"/>
        <v>1</v>
      </c>
      <c r="L373" s="14">
        <v>0.4</v>
      </c>
      <c r="N373" s="4"/>
      <c r="O373" s="4"/>
      <c r="P373" s="5"/>
      <c r="Q373" s="1"/>
      <c r="R373" s="2"/>
      <c r="S373" s="2"/>
      <c r="T373" s="1"/>
      <c r="U373" s="2"/>
      <c r="V373" s="2"/>
      <c r="W373" s="2"/>
    </row>
    <row r="374" spans="1:23">
      <c r="A374" s="13">
        <v>37.200000000000003</v>
      </c>
      <c r="B374" s="13">
        <f t="shared" si="0"/>
        <v>1</v>
      </c>
      <c r="C374" s="13">
        <f>IF(B374&gt;=$S$2, A374, "")</f>
        <v>37.200000000000003</v>
      </c>
      <c r="D374" s="13">
        <f>IF(AND(B374=1, B374&gt;=$S$2), A374, "")</f>
        <v>37.200000000000003</v>
      </c>
      <c r="E374" s="13">
        <f>IF(B374&gt;=$S$2, B374, 0)</f>
        <v>1</v>
      </c>
      <c r="F374" s="13">
        <f t="shared" si="1"/>
        <v>3.7199999999997888</v>
      </c>
      <c r="G374" s="13">
        <f t="shared" si="2"/>
        <v>9.9999999999994316E-2</v>
      </c>
      <c r="H374" s="13">
        <f>IF(B374&gt;=$T$2, A374, "")</f>
        <v>37.200000000000003</v>
      </c>
      <c r="I374" s="14">
        <f t="shared" si="13"/>
        <v>1</v>
      </c>
      <c r="J374" s="14">
        <v>0.5</v>
      </c>
      <c r="K374" s="14">
        <f t="shared" si="14"/>
        <v>1</v>
      </c>
      <c r="L374" s="14">
        <v>0.4</v>
      </c>
      <c r="N374" s="4"/>
      <c r="O374" s="4"/>
      <c r="P374" s="5"/>
      <c r="Q374" s="1"/>
      <c r="R374" s="2"/>
      <c r="S374" s="2"/>
      <c r="T374" s="1"/>
      <c r="U374" s="2"/>
      <c r="V374" s="2"/>
      <c r="W374" s="2"/>
    </row>
    <row r="375" spans="1:23">
      <c r="A375" s="13">
        <v>37.299999999999997</v>
      </c>
      <c r="B375" s="13">
        <f t="shared" si="0"/>
        <v>1</v>
      </c>
      <c r="C375" s="13">
        <f>IF(B375&gt;=$S$2, A375, "")</f>
        <v>37.299999999999997</v>
      </c>
      <c r="D375" s="13">
        <f>IF(AND(B375=1, B375&gt;=$S$2), A375, "")</f>
        <v>37.299999999999997</v>
      </c>
      <c r="E375" s="13">
        <f>IF(B375&gt;=$S$2, B375, 0)</f>
        <v>1</v>
      </c>
      <c r="F375" s="13">
        <f t="shared" si="1"/>
        <v>3.7300000000000528</v>
      </c>
      <c r="G375" s="13">
        <f t="shared" si="2"/>
        <v>0.10000000000000142</v>
      </c>
      <c r="H375" s="13">
        <f>IF(B375&gt;=$T$2, A375, "")</f>
        <v>37.299999999999997</v>
      </c>
      <c r="I375" s="14">
        <f t="shared" si="13"/>
        <v>1</v>
      </c>
      <c r="J375" s="14">
        <v>0.5</v>
      </c>
      <c r="K375" s="14">
        <f t="shared" si="14"/>
        <v>1</v>
      </c>
      <c r="L375" s="14">
        <v>0.4</v>
      </c>
      <c r="N375" s="4"/>
      <c r="O375" s="4"/>
      <c r="P375" s="5"/>
      <c r="Q375" s="1"/>
      <c r="R375" s="2"/>
      <c r="S375" s="2"/>
      <c r="T375" s="1"/>
      <c r="U375" s="2"/>
      <c r="V375" s="2"/>
      <c r="W375" s="2"/>
    </row>
    <row r="376" spans="1:23">
      <c r="A376" s="13">
        <v>37.4</v>
      </c>
      <c r="B376" s="13">
        <f t="shared" si="0"/>
        <v>1</v>
      </c>
      <c r="C376" s="13">
        <f>IF(B376&gt;=$S$2, A376, "")</f>
        <v>37.4</v>
      </c>
      <c r="D376" s="13">
        <f>IF(AND(B376=1, B376&gt;=$S$2), A376, "")</f>
        <v>37.4</v>
      </c>
      <c r="E376" s="13">
        <f>IF(B376&gt;=$S$2, B376, 0)</f>
        <v>1</v>
      </c>
      <c r="F376" s="13">
        <f t="shared" si="1"/>
        <v>3.7400000000000531</v>
      </c>
      <c r="G376" s="13">
        <f t="shared" si="2"/>
        <v>0.10000000000000142</v>
      </c>
      <c r="H376" s="13">
        <f>IF(B376&gt;=$T$2, A376, "")</f>
        <v>37.4</v>
      </c>
      <c r="I376" s="14">
        <f t="shared" si="13"/>
        <v>1</v>
      </c>
      <c r="J376" s="14">
        <v>0.5</v>
      </c>
      <c r="K376" s="14">
        <f t="shared" si="14"/>
        <v>1</v>
      </c>
      <c r="L376" s="14">
        <v>0.4</v>
      </c>
      <c r="N376" s="4"/>
      <c r="O376" s="4"/>
      <c r="P376" s="5"/>
      <c r="Q376" s="1"/>
      <c r="R376" s="2"/>
      <c r="S376" s="2"/>
      <c r="T376" s="1"/>
      <c r="U376" s="2"/>
      <c r="V376" s="2"/>
      <c r="W376" s="2"/>
    </row>
    <row r="377" spans="1:23">
      <c r="A377" s="13">
        <v>37.5</v>
      </c>
      <c r="B377" s="13">
        <f t="shared" si="0"/>
        <v>1</v>
      </c>
      <c r="C377" s="13">
        <f>IF(B377&gt;=$S$2, A377, "")</f>
        <v>37.5</v>
      </c>
      <c r="D377" s="13">
        <f>IF(AND(B377=1, B377&gt;=$S$2), A377, "")</f>
        <v>37.5</v>
      </c>
      <c r="E377" s="13">
        <f>IF(B377&gt;=$S$2, B377, 0)</f>
        <v>1</v>
      </c>
      <c r="F377" s="13">
        <f t="shared" si="1"/>
        <v>3.7500000000000533</v>
      </c>
      <c r="G377" s="13">
        <f t="shared" si="2"/>
        <v>0.10000000000000142</v>
      </c>
      <c r="H377" s="13">
        <f>IF(B377&gt;=$T$2, A377, "")</f>
        <v>37.5</v>
      </c>
      <c r="I377" s="14">
        <f t="shared" si="13"/>
        <v>1</v>
      </c>
      <c r="J377" s="14">
        <v>0.5</v>
      </c>
      <c r="K377" s="14">
        <f t="shared" si="14"/>
        <v>1</v>
      </c>
      <c r="L377" s="14">
        <v>0.4</v>
      </c>
      <c r="N377" s="4"/>
      <c r="O377" s="4"/>
      <c r="P377" s="5"/>
      <c r="Q377" s="1"/>
      <c r="R377" s="2"/>
      <c r="S377" s="2"/>
      <c r="T377" s="1"/>
      <c r="U377" s="2"/>
      <c r="V377" s="2"/>
      <c r="W377" s="2"/>
    </row>
    <row r="378" spans="1:23">
      <c r="A378" s="13">
        <v>37.6</v>
      </c>
      <c r="B378" s="13">
        <f t="shared" si="0"/>
        <v>1</v>
      </c>
      <c r="C378" s="13">
        <f>IF(B378&gt;=$S$2, A378, "")</f>
        <v>37.6</v>
      </c>
      <c r="D378" s="13">
        <f>IF(AND(B378=1, B378&gt;=$S$2), A378, "")</f>
        <v>37.6</v>
      </c>
      <c r="E378" s="13">
        <f>IF(B378&gt;=$S$2, B378, 0)</f>
        <v>1</v>
      </c>
      <c r="F378" s="13">
        <f t="shared" si="1"/>
        <v>3.7600000000000535</v>
      </c>
      <c r="G378" s="13">
        <f t="shared" si="2"/>
        <v>0.10000000000000142</v>
      </c>
      <c r="H378" s="13">
        <f>IF(B378&gt;=$T$2, A378, "")</f>
        <v>37.6</v>
      </c>
      <c r="I378" s="14">
        <f t="shared" si="13"/>
        <v>1</v>
      </c>
      <c r="J378" s="14">
        <v>0.5</v>
      </c>
      <c r="K378" s="14">
        <f t="shared" si="14"/>
        <v>1</v>
      </c>
      <c r="L378" s="14">
        <v>0.4</v>
      </c>
      <c r="N378" s="4"/>
      <c r="O378" s="4"/>
      <c r="P378" s="5"/>
      <c r="Q378" s="1"/>
      <c r="R378" s="2"/>
      <c r="S378" s="2"/>
      <c r="T378" s="1"/>
      <c r="U378" s="2"/>
      <c r="V378" s="2"/>
      <c r="W378" s="2"/>
    </row>
    <row r="379" spans="1:23">
      <c r="A379" s="13">
        <v>37.700000000000003</v>
      </c>
      <c r="B379" s="13">
        <f t="shared" si="0"/>
        <v>1</v>
      </c>
      <c r="C379" s="13">
        <f>IF(B379&gt;=$S$2, A379, "")</f>
        <v>37.700000000000003</v>
      </c>
      <c r="D379" s="13">
        <f>IF(AND(B379=1, B379&gt;=$S$2), A379, "")</f>
        <v>37.700000000000003</v>
      </c>
      <c r="E379" s="13">
        <f>IF(B379&gt;=$S$2, B379, 0)</f>
        <v>1</v>
      </c>
      <c r="F379" s="13">
        <f t="shared" si="1"/>
        <v>3.769999999999786</v>
      </c>
      <c r="G379" s="13">
        <f t="shared" si="2"/>
        <v>9.9999999999994316E-2</v>
      </c>
      <c r="H379" s="13">
        <f>IF(B379&gt;=$T$2, A379, "")</f>
        <v>37.700000000000003</v>
      </c>
      <c r="I379" s="14">
        <f t="shared" si="13"/>
        <v>1</v>
      </c>
      <c r="J379" s="14">
        <v>0.5</v>
      </c>
      <c r="K379" s="14">
        <f t="shared" si="14"/>
        <v>1</v>
      </c>
      <c r="L379" s="14">
        <v>0.4</v>
      </c>
      <c r="N379" s="4"/>
      <c r="O379" s="4"/>
      <c r="P379" s="5"/>
      <c r="Q379" s="1"/>
      <c r="R379" s="2"/>
      <c r="S379" s="2"/>
      <c r="T379" s="1"/>
      <c r="U379" s="2"/>
      <c r="V379" s="2"/>
      <c r="W379" s="2"/>
    </row>
    <row r="380" spans="1:23">
      <c r="A380" s="13">
        <v>37.799999999999997</v>
      </c>
      <c r="B380" s="13">
        <f t="shared" si="0"/>
        <v>1</v>
      </c>
      <c r="C380" s="13">
        <f>IF(B380&gt;=$S$2, A380, "")</f>
        <v>37.799999999999997</v>
      </c>
      <c r="D380" s="13">
        <f>IF(AND(B380=1, B380&gt;=$S$2), A380, "")</f>
        <v>37.799999999999997</v>
      </c>
      <c r="E380" s="13">
        <f>IF(B380&gt;=$S$2, B380, 0)</f>
        <v>1</v>
      </c>
      <c r="F380" s="13">
        <f t="shared" si="1"/>
        <v>3.7800000000000535</v>
      </c>
      <c r="G380" s="13">
        <f t="shared" si="2"/>
        <v>0.10000000000000142</v>
      </c>
      <c r="H380" s="13">
        <f>IF(B380&gt;=$T$2, A380, "")</f>
        <v>37.799999999999997</v>
      </c>
      <c r="I380" s="14">
        <f t="shared" si="13"/>
        <v>1</v>
      </c>
      <c r="J380" s="14">
        <v>0.5</v>
      </c>
      <c r="K380" s="14">
        <f t="shared" si="14"/>
        <v>1</v>
      </c>
      <c r="L380" s="14">
        <v>0.4</v>
      </c>
      <c r="N380" s="4"/>
      <c r="O380" s="4"/>
      <c r="P380" s="5"/>
      <c r="Q380" s="1"/>
      <c r="R380" s="2"/>
      <c r="S380" s="2"/>
      <c r="T380" s="1"/>
      <c r="U380" s="2"/>
      <c r="V380" s="2"/>
      <c r="W380" s="2"/>
    </row>
    <row r="381" spans="1:23">
      <c r="A381" s="13">
        <v>37.9</v>
      </c>
      <c r="B381" s="13">
        <f t="shared" si="0"/>
        <v>1</v>
      </c>
      <c r="C381" s="13">
        <f>IF(B381&gt;=$S$2, A381, "")</f>
        <v>37.9</v>
      </c>
      <c r="D381" s="13">
        <f>IF(AND(B381=1, B381&gt;=$S$2), A381, "")</f>
        <v>37.9</v>
      </c>
      <c r="E381" s="13">
        <f>IF(B381&gt;=$S$2, B381, 0)</f>
        <v>1</v>
      </c>
      <c r="F381" s="13">
        <f t="shared" si="1"/>
        <v>3.7900000000000538</v>
      </c>
      <c r="G381" s="13">
        <f t="shared" si="2"/>
        <v>0.10000000000000142</v>
      </c>
      <c r="H381" s="13">
        <f>IF(B381&gt;=$T$2, A381, "")</f>
        <v>37.9</v>
      </c>
      <c r="I381" s="14">
        <f t="shared" si="13"/>
        <v>1</v>
      </c>
      <c r="J381" s="14">
        <v>0.5</v>
      </c>
      <c r="K381" s="14">
        <f t="shared" si="14"/>
        <v>1</v>
      </c>
      <c r="L381" s="14">
        <v>0.4</v>
      </c>
      <c r="N381" s="4"/>
      <c r="O381" s="4"/>
      <c r="P381" s="5"/>
      <c r="Q381" s="1"/>
      <c r="R381" s="2"/>
      <c r="S381" s="2"/>
      <c r="T381" s="1"/>
      <c r="U381" s="2"/>
      <c r="V381" s="2"/>
      <c r="W381" s="2"/>
    </row>
    <row r="382" spans="1:23">
      <c r="A382" s="13">
        <v>38</v>
      </c>
      <c r="B382" s="13">
        <f t="shared" si="0"/>
        <v>1</v>
      </c>
      <c r="C382" s="13">
        <f>IF(B382&gt;=$S$2, A382, "")</f>
        <v>38</v>
      </c>
      <c r="D382" s="13">
        <f>IF(AND(B382=1, B382&gt;=$S$2), A382, "")</f>
        <v>38</v>
      </c>
      <c r="E382" s="13">
        <f>IF(B382&gt;=$S$2, B382, 0)</f>
        <v>1</v>
      </c>
      <c r="F382" s="13">
        <f t="shared" si="1"/>
        <v>3.800000000000054</v>
      </c>
      <c r="G382" s="13">
        <f t="shared" si="2"/>
        <v>0.10000000000000142</v>
      </c>
      <c r="H382" s="13">
        <f>IF(B382&gt;=$T$2, A382, "")</f>
        <v>38</v>
      </c>
      <c r="I382" s="14">
        <f t="shared" si="13"/>
        <v>1</v>
      </c>
      <c r="J382" s="14">
        <v>0.5</v>
      </c>
      <c r="K382" s="14">
        <f t="shared" si="14"/>
        <v>1</v>
      </c>
      <c r="L382" s="14">
        <v>0.4</v>
      </c>
      <c r="N382" s="4"/>
      <c r="O382" s="4"/>
      <c r="P382" s="5"/>
      <c r="Q382" s="1"/>
      <c r="R382" s="2"/>
      <c r="S382" s="2"/>
      <c r="T382" s="1"/>
      <c r="U382" s="2"/>
      <c r="V382" s="2"/>
      <c r="W382" s="2"/>
    </row>
    <row r="383" spans="1:23">
      <c r="A383" s="13">
        <v>38.1</v>
      </c>
      <c r="B383" s="13">
        <f t="shared" si="0"/>
        <v>1</v>
      </c>
      <c r="C383" s="13">
        <f>IF(B383&gt;=$S$2, A383, "")</f>
        <v>38.1</v>
      </c>
      <c r="D383" s="13">
        <f>IF(AND(B383=1, B383&gt;=$S$2), A383, "")</f>
        <v>38.1</v>
      </c>
      <c r="E383" s="13">
        <f>IF(B383&gt;=$S$2, B383, 0)</f>
        <v>1</v>
      </c>
      <c r="F383" s="13">
        <f t="shared" si="1"/>
        <v>3.8100000000000542</v>
      </c>
      <c r="G383" s="13">
        <f t="shared" si="2"/>
        <v>0.10000000000000142</v>
      </c>
      <c r="H383" s="13">
        <f>IF(B383&gt;=$T$2, A383, "")</f>
        <v>38.1</v>
      </c>
      <c r="I383" s="14">
        <f t="shared" si="13"/>
        <v>1</v>
      </c>
      <c r="J383" s="14">
        <v>0.5</v>
      </c>
      <c r="K383" s="14">
        <f t="shared" si="14"/>
        <v>1</v>
      </c>
      <c r="L383" s="14">
        <v>0.4</v>
      </c>
      <c r="N383" s="4"/>
      <c r="O383" s="4"/>
      <c r="P383" s="5"/>
      <c r="Q383" s="1"/>
      <c r="R383" s="2"/>
      <c r="S383" s="2"/>
      <c r="T383" s="1"/>
      <c r="U383" s="2"/>
      <c r="V383" s="2"/>
      <c r="W383" s="2"/>
    </row>
    <row r="384" spans="1:23">
      <c r="A384" s="13">
        <v>38.200000000000003</v>
      </c>
      <c r="B384" s="13">
        <f t="shared" si="0"/>
        <v>1</v>
      </c>
      <c r="C384" s="13">
        <f>IF(B384&gt;=$S$2, A384, "")</f>
        <v>38.200000000000003</v>
      </c>
      <c r="D384" s="13">
        <f>IF(AND(B384=1, B384&gt;=$S$2), A384, "")</f>
        <v>38.200000000000003</v>
      </c>
      <c r="E384" s="13">
        <f>IF(B384&gt;=$S$2, B384, 0)</f>
        <v>1</v>
      </c>
      <c r="F384" s="13">
        <f t="shared" si="1"/>
        <v>3.8199999999997831</v>
      </c>
      <c r="G384" s="13">
        <f t="shared" si="2"/>
        <v>9.9999999999994316E-2</v>
      </c>
      <c r="H384" s="13">
        <f>IF(B384&gt;=$T$2, A384, "")</f>
        <v>38.200000000000003</v>
      </c>
      <c r="I384" s="14">
        <f t="shared" si="13"/>
        <v>1</v>
      </c>
      <c r="J384" s="14">
        <v>0.5</v>
      </c>
      <c r="K384" s="14">
        <f t="shared" si="14"/>
        <v>1</v>
      </c>
      <c r="L384" s="14">
        <v>0.4</v>
      </c>
      <c r="N384" s="4"/>
      <c r="O384" s="4"/>
      <c r="P384" s="5"/>
      <c r="Q384" s="1"/>
      <c r="R384" s="2"/>
      <c r="S384" s="2"/>
      <c r="T384" s="1"/>
      <c r="U384" s="2"/>
      <c r="V384" s="2"/>
      <c r="W384" s="2"/>
    </row>
    <row r="385" spans="1:23">
      <c r="A385" s="13">
        <v>38.299999999999997</v>
      </c>
      <c r="B385" s="13">
        <f t="shared" si="0"/>
        <v>1</v>
      </c>
      <c r="C385" s="13">
        <f>IF(B385&gt;=$S$2, A385, "")</f>
        <v>38.299999999999997</v>
      </c>
      <c r="D385" s="13">
        <f>IF(AND(B385=1, B385&gt;=$S$2), A385, "")</f>
        <v>38.299999999999997</v>
      </c>
      <c r="E385" s="13">
        <f>IF(B385&gt;=$S$2, B385, 0)</f>
        <v>1</v>
      </c>
      <c r="F385" s="13">
        <f t="shared" si="1"/>
        <v>3.8300000000000542</v>
      </c>
      <c r="G385" s="13">
        <f t="shared" si="2"/>
        <v>0.10000000000000142</v>
      </c>
      <c r="H385" s="13">
        <f>IF(B385&gt;=$T$2, A385, "")</f>
        <v>38.299999999999997</v>
      </c>
      <c r="I385" s="14">
        <f t="shared" si="13"/>
        <v>1</v>
      </c>
      <c r="J385" s="14">
        <v>0.5</v>
      </c>
      <c r="K385" s="14">
        <f t="shared" si="14"/>
        <v>1</v>
      </c>
      <c r="L385" s="14">
        <v>0.4</v>
      </c>
      <c r="N385" s="4"/>
      <c r="O385" s="4"/>
      <c r="P385" s="5"/>
      <c r="Q385" s="1"/>
      <c r="R385" s="2"/>
      <c r="S385" s="2"/>
      <c r="T385" s="1"/>
      <c r="U385" s="2"/>
      <c r="V385" s="2"/>
      <c r="W385" s="2"/>
    </row>
    <row r="386" spans="1:23">
      <c r="A386" s="13">
        <v>38.4</v>
      </c>
      <c r="B386" s="13">
        <f t="shared" si="0"/>
        <v>1</v>
      </c>
      <c r="C386" s="13">
        <f>IF(B386&gt;=$S$2, A386, "")</f>
        <v>38.4</v>
      </c>
      <c r="D386" s="13">
        <f>IF(AND(B386=1, B386&gt;=$S$2), A386, "")</f>
        <v>38.4</v>
      </c>
      <c r="E386" s="13">
        <f>IF(B386&gt;=$S$2, B386, 0)</f>
        <v>1</v>
      </c>
      <c r="F386" s="13">
        <f t="shared" si="1"/>
        <v>3.8400000000000545</v>
      </c>
      <c r="G386" s="13">
        <f t="shared" si="2"/>
        <v>0.10000000000000142</v>
      </c>
      <c r="H386" s="13">
        <f>IF(B386&gt;=$T$2, A386, "")</f>
        <v>38.4</v>
      </c>
      <c r="I386" s="14">
        <f t="shared" si="13"/>
        <v>1</v>
      </c>
      <c r="J386" s="14">
        <v>0.5</v>
      </c>
      <c r="K386" s="14">
        <f t="shared" si="14"/>
        <v>1</v>
      </c>
      <c r="L386" s="14">
        <v>0.4</v>
      </c>
      <c r="N386" s="4"/>
      <c r="O386" s="4"/>
      <c r="P386" s="5"/>
      <c r="Q386" s="1"/>
      <c r="R386" s="2"/>
      <c r="S386" s="2"/>
      <c r="T386" s="1"/>
      <c r="U386" s="2"/>
      <c r="V386" s="2"/>
      <c r="W386" s="2"/>
    </row>
    <row r="387" spans="1:23">
      <c r="A387" s="13">
        <v>38.5</v>
      </c>
      <c r="B387" s="13">
        <f t="shared" si="0"/>
        <v>1</v>
      </c>
      <c r="C387" s="13">
        <f>IF(B387&gt;=$S$2, A387, "")</f>
        <v>38.5</v>
      </c>
      <c r="D387" s="13">
        <f>IF(AND(B387=1, B387&gt;=$S$2), A387, "")</f>
        <v>38.5</v>
      </c>
      <c r="E387" s="13">
        <f>IF(B387&gt;=$S$2, B387, 0)</f>
        <v>1</v>
      </c>
      <c r="F387" s="13">
        <f t="shared" si="1"/>
        <v>3.8500000000000547</v>
      </c>
      <c r="G387" s="13">
        <f t="shared" si="2"/>
        <v>0.10000000000000142</v>
      </c>
      <c r="H387" s="13">
        <f>IF(B387&gt;=$T$2, A387, "")</f>
        <v>38.5</v>
      </c>
      <c r="I387" s="14">
        <f t="shared" ref="I387:I450" si="15">IF($B387&gt;=0.5, $B387, #N/A)</f>
        <v>1</v>
      </c>
      <c r="J387" s="14">
        <v>0.5</v>
      </c>
      <c r="K387" s="14">
        <f t="shared" ref="K387:K450" si="16">IF($B387&gt;=0.4, $B387, #N/A)</f>
        <v>1</v>
      </c>
      <c r="L387" s="14">
        <v>0.4</v>
      </c>
      <c r="N387" s="4"/>
      <c r="O387" s="4"/>
      <c r="P387" s="5"/>
      <c r="Q387" s="1"/>
      <c r="R387" s="2"/>
      <c r="S387" s="2"/>
      <c r="T387" s="1"/>
      <c r="U387" s="2"/>
      <c r="V387" s="2"/>
      <c r="W387" s="2"/>
    </row>
    <row r="388" spans="1:23">
      <c r="A388" s="13">
        <v>38.6</v>
      </c>
      <c r="B388" s="13">
        <f t="shared" si="0"/>
        <v>1</v>
      </c>
      <c r="C388" s="13">
        <f>IF(B388&gt;=$S$2, A388, "")</f>
        <v>38.6</v>
      </c>
      <c r="D388" s="13">
        <f>IF(AND(B388=1, B388&gt;=$S$2), A388, "")</f>
        <v>38.6</v>
      </c>
      <c r="E388" s="13">
        <f>IF(B388&gt;=$S$2, B388, 0)</f>
        <v>1</v>
      </c>
      <c r="F388" s="13">
        <f t="shared" si="1"/>
        <v>3.8600000000000549</v>
      </c>
      <c r="G388" s="13">
        <f t="shared" si="2"/>
        <v>0.10000000000000142</v>
      </c>
      <c r="H388" s="13">
        <f>IF(B388&gt;=$T$2, A388, "")</f>
        <v>38.6</v>
      </c>
      <c r="I388" s="14">
        <f t="shared" si="15"/>
        <v>1</v>
      </c>
      <c r="J388" s="14">
        <v>0.5</v>
      </c>
      <c r="K388" s="14">
        <f t="shared" si="16"/>
        <v>1</v>
      </c>
      <c r="L388" s="14">
        <v>0.4</v>
      </c>
      <c r="N388" s="4"/>
      <c r="O388" s="4"/>
      <c r="P388" s="5"/>
      <c r="Q388" s="1"/>
      <c r="R388" s="2"/>
      <c r="S388" s="2"/>
      <c r="T388" s="1"/>
      <c r="U388" s="2"/>
      <c r="V388" s="2"/>
      <c r="W388" s="2"/>
    </row>
    <row r="389" spans="1:23">
      <c r="A389" s="13">
        <v>38.700000000000003</v>
      </c>
      <c r="B389" s="13">
        <f t="shared" si="0"/>
        <v>1</v>
      </c>
      <c r="C389" s="13">
        <f>IF(B389&gt;=$S$2, A389, "")</f>
        <v>38.700000000000003</v>
      </c>
      <c r="D389" s="13">
        <f>IF(AND(B389=1, B389&gt;=$S$2), A389, "")</f>
        <v>38.700000000000003</v>
      </c>
      <c r="E389" s="13">
        <f>IF(B389&gt;=$S$2, B389, 0)</f>
        <v>1</v>
      </c>
      <c r="F389" s="13">
        <f t="shared" si="1"/>
        <v>3.8699999999997803</v>
      </c>
      <c r="G389" s="13">
        <f t="shared" si="2"/>
        <v>9.9999999999994316E-2</v>
      </c>
      <c r="H389" s="13">
        <f>IF(B389&gt;=$T$2, A389, "")</f>
        <v>38.700000000000003</v>
      </c>
      <c r="I389" s="14">
        <f t="shared" si="15"/>
        <v>1</v>
      </c>
      <c r="J389" s="14">
        <v>0.5</v>
      </c>
      <c r="K389" s="14">
        <f t="shared" si="16"/>
        <v>1</v>
      </c>
      <c r="L389" s="14">
        <v>0.4</v>
      </c>
      <c r="N389" s="4"/>
      <c r="O389" s="4"/>
      <c r="P389" s="5"/>
      <c r="Q389" s="1"/>
      <c r="R389" s="2"/>
      <c r="S389" s="2"/>
      <c r="T389" s="1"/>
      <c r="U389" s="2"/>
      <c r="V389" s="2"/>
      <c r="W389" s="2"/>
    </row>
    <row r="390" spans="1:23">
      <c r="A390" s="13">
        <v>38.799999999999997</v>
      </c>
      <c r="B390" s="13">
        <f t="shared" si="0"/>
        <v>1</v>
      </c>
      <c r="C390" s="13">
        <f>IF(B390&gt;=$S$2, A390, "")</f>
        <v>38.799999999999997</v>
      </c>
      <c r="D390" s="13">
        <f>IF(AND(B390=1, B390&gt;=$S$2), A390, "")</f>
        <v>38.799999999999997</v>
      </c>
      <c r="E390" s="13">
        <f>IF(B390&gt;=$S$2, B390, 0)</f>
        <v>1</v>
      </c>
      <c r="F390" s="13">
        <f t="shared" si="1"/>
        <v>3.880000000000055</v>
      </c>
      <c r="G390" s="13">
        <f t="shared" si="2"/>
        <v>0.10000000000000142</v>
      </c>
      <c r="H390" s="13">
        <f>IF(B390&gt;=$T$2, A390, "")</f>
        <v>38.799999999999997</v>
      </c>
      <c r="I390" s="14">
        <f t="shared" si="15"/>
        <v>1</v>
      </c>
      <c r="J390" s="14">
        <v>0.5</v>
      </c>
      <c r="K390" s="14">
        <f t="shared" si="16"/>
        <v>1</v>
      </c>
      <c r="L390" s="14">
        <v>0.4</v>
      </c>
      <c r="N390" s="4"/>
      <c r="O390" s="4"/>
      <c r="P390" s="5"/>
      <c r="Q390" s="1"/>
      <c r="R390" s="2"/>
      <c r="S390" s="2"/>
      <c r="T390" s="1"/>
      <c r="U390" s="2"/>
      <c r="V390" s="2"/>
      <c r="W390" s="2"/>
    </row>
    <row r="391" spans="1:23">
      <c r="A391" s="13">
        <v>38.9</v>
      </c>
      <c r="B391" s="13">
        <f t="shared" si="0"/>
        <v>1</v>
      </c>
      <c r="C391" s="13">
        <f>IF(B391&gt;=$S$2, A391, "")</f>
        <v>38.9</v>
      </c>
      <c r="D391" s="13">
        <f>IF(AND(B391=1, B391&gt;=$S$2), A391, "")</f>
        <v>38.9</v>
      </c>
      <c r="E391" s="13">
        <f>IF(B391&gt;=$S$2, B391, 0)</f>
        <v>1</v>
      </c>
      <c r="F391" s="13">
        <f t="shared" si="1"/>
        <v>3.8900000000000552</v>
      </c>
      <c r="G391" s="13">
        <f t="shared" si="2"/>
        <v>0.10000000000000142</v>
      </c>
      <c r="H391" s="13">
        <f>IF(B391&gt;=$T$2, A391, "")</f>
        <v>38.9</v>
      </c>
      <c r="I391" s="14">
        <f t="shared" si="15"/>
        <v>1</v>
      </c>
      <c r="J391" s="14">
        <v>0.5</v>
      </c>
      <c r="K391" s="14">
        <f t="shared" si="16"/>
        <v>1</v>
      </c>
      <c r="L391" s="14">
        <v>0.4</v>
      </c>
      <c r="N391" s="4"/>
      <c r="O391" s="4"/>
      <c r="P391" s="5"/>
      <c r="Q391" s="1"/>
      <c r="R391" s="2"/>
      <c r="S391" s="2"/>
      <c r="T391" s="1"/>
      <c r="U391" s="2"/>
      <c r="V391" s="2"/>
      <c r="W391" s="2"/>
    </row>
    <row r="392" spans="1:23">
      <c r="A392" s="13">
        <v>39</v>
      </c>
      <c r="B392" s="13">
        <f t="shared" si="0"/>
        <v>1</v>
      </c>
      <c r="C392" s="13">
        <f>IF(B392&gt;=$S$2, A392, "")</f>
        <v>39</v>
      </c>
      <c r="D392" s="13">
        <f>IF(AND(B392=1, B392&gt;=$S$2), A392, "")</f>
        <v>39</v>
      </c>
      <c r="E392" s="13">
        <f>IF(B392&gt;=$S$2, B392, 0)</f>
        <v>1</v>
      </c>
      <c r="F392" s="13">
        <f t="shared" si="1"/>
        <v>3.9000000000000554</v>
      </c>
      <c r="G392" s="13">
        <f t="shared" si="2"/>
        <v>0.10000000000000142</v>
      </c>
      <c r="H392" s="13">
        <f>IF(B392&gt;=$T$2, A392, "")</f>
        <v>39</v>
      </c>
      <c r="I392" s="14">
        <f t="shared" si="15"/>
        <v>1</v>
      </c>
      <c r="J392" s="14">
        <v>0.5</v>
      </c>
      <c r="K392" s="14">
        <f t="shared" si="16"/>
        <v>1</v>
      </c>
      <c r="L392" s="14">
        <v>0.4</v>
      </c>
      <c r="N392" s="4"/>
      <c r="O392" s="4"/>
      <c r="P392" s="5"/>
      <c r="Q392" s="1"/>
      <c r="R392" s="2"/>
      <c r="S392" s="2"/>
      <c r="T392" s="1"/>
      <c r="U392" s="2"/>
      <c r="V392" s="2"/>
      <c r="W392" s="2"/>
    </row>
    <row r="393" spans="1:23">
      <c r="A393" s="13">
        <v>39.1</v>
      </c>
      <c r="B393" s="13">
        <f t="shared" si="0"/>
        <v>1</v>
      </c>
      <c r="C393" s="13">
        <f>IF(B393&gt;=$S$2, A393, "")</f>
        <v>39.1</v>
      </c>
      <c r="D393" s="13">
        <f>IF(AND(B393=1, B393&gt;=$S$2), A393, "")</f>
        <v>39.1</v>
      </c>
      <c r="E393" s="13">
        <f>IF(B393&gt;=$S$2, B393, 0)</f>
        <v>1</v>
      </c>
      <c r="F393" s="13">
        <f t="shared" si="1"/>
        <v>3.9100000000000557</v>
      </c>
      <c r="G393" s="13">
        <f t="shared" si="2"/>
        <v>0.10000000000000142</v>
      </c>
      <c r="H393" s="13">
        <f>IF(B393&gt;=$T$2, A393, "")</f>
        <v>39.1</v>
      </c>
      <c r="I393" s="14">
        <f t="shared" si="15"/>
        <v>1</v>
      </c>
      <c r="J393" s="14">
        <v>0.5</v>
      </c>
      <c r="K393" s="14">
        <f t="shared" si="16"/>
        <v>1</v>
      </c>
      <c r="L393" s="14">
        <v>0.4</v>
      </c>
      <c r="N393" s="4"/>
      <c r="O393" s="4"/>
      <c r="P393" s="5"/>
      <c r="Q393" s="1"/>
      <c r="R393" s="2"/>
      <c r="S393" s="2"/>
      <c r="T393" s="1"/>
      <c r="U393" s="2"/>
      <c r="V393" s="2"/>
      <c r="W393" s="2"/>
    </row>
    <row r="394" spans="1:23">
      <c r="A394" s="13">
        <v>39.200000000000003</v>
      </c>
      <c r="B394" s="13">
        <f t="shared" si="0"/>
        <v>1</v>
      </c>
      <c r="C394" s="13">
        <f>IF(B394&gt;=$S$2, A394, "")</f>
        <v>39.200000000000003</v>
      </c>
      <c r="D394" s="13">
        <f>IF(AND(B394=1, B394&gt;=$S$2), A394, "")</f>
        <v>39.200000000000003</v>
      </c>
      <c r="E394" s="13">
        <f>IF(B394&gt;=$S$2, B394, 0)</f>
        <v>1</v>
      </c>
      <c r="F394" s="13">
        <f t="shared" si="1"/>
        <v>3.9199999999997774</v>
      </c>
      <c r="G394" s="13">
        <f t="shared" si="2"/>
        <v>9.9999999999994316E-2</v>
      </c>
      <c r="H394" s="13">
        <f>IF(B394&gt;=$T$2, A394, "")</f>
        <v>39.200000000000003</v>
      </c>
      <c r="I394" s="14">
        <f t="shared" si="15"/>
        <v>1</v>
      </c>
      <c r="J394" s="14">
        <v>0.5</v>
      </c>
      <c r="K394" s="14">
        <f t="shared" si="16"/>
        <v>1</v>
      </c>
      <c r="L394" s="14">
        <v>0.4</v>
      </c>
      <c r="N394" s="4"/>
      <c r="O394" s="4"/>
      <c r="P394" s="5"/>
      <c r="Q394" s="1"/>
      <c r="R394" s="2"/>
      <c r="S394" s="2"/>
      <c r="T394" s="1"/>
      <c r="U394" s="2"/>
      <c r="V394" s="2"/>
      <c r="W394" s="2"/>
    </row>
    <row r="395" spans="1:23">
      <c r="A395" s="13">
        <v>39.299999999999997</v>
      </c>
      <c r="B395" s="13">
        <f t="shared" si="0"/>
        <v>1</v>
      </c>
      <c r="C395" s="13">
        <f>IF(B395&gt;=$S$2, A395, "")</f>
        <v>39.299999999999997</v>
      </c>
      <c r="D395" s="13">
        <f>IF(AND(B395=1, B395&gt;=$S$2), A395, "")</f>
        <v>39.299999999999997</v>
      </c>
      <c r="E395" s="13">
        <f>IF(B395&gt;=$S$2, B395, 0)</f>
        <v>1</v>
      </c>
      <c r="F395" s="13">
        <f t="shared" si="1"/>
        <v>3.9300000000000557</v>
      </c>
      <c r="G395" s="13">
        <f t="shared" si="2"/>
        <v>0.10000000000000142</v>
      </c>
      <c r="H395" s="13">
        <f>IF(B395&gt;=$T$2, A395, "")</f>
        <v>39.299999999999997</v>
      </c>
      <c r="I395" s="14">
        <f t="shared" si="15"/>
        <v>1</v>
      </c>
      <c r="J395" s="14">
        <v>0.5</v>
      </c>
      <c r="K395" s="14">
        <f t="shared" si="16"/>
        <v>1</v>
      </c>
      <c r="L395" s="14">
        <v>0.4</v>
      </c>
      <c r="N395" s="4"/>
      <c r="O395" s="4"/>
      <c r="P395" s="5"/>
      <c r="Q395" s="1"/>
      <c r="R395" s="2"/>
      <c r="S395" s="2"/>
      <c r="T395" s="1"/>
      <c r="U395" s="2"/>
      <c r="V395" s="2"/>
      <c r="W395" s="2"/>
    </row>
    <row r="396" spans="1:23">
      <c r="A396" s="13">
        <v>39.4</v>
      </c>
      <c r="B396" s="13">
        <f t="shared" si="0"/>
        <v>1</v>
      </c>
      <c r="C396" s="13">
        <f>IF(B396&gt;=$S$2, A396, "")</f>
        <v>39.4</v>
      </c>
      <c r="D396" s="13">
        <f>IF(AND(B396=1, B396&gt;=$S$2), A396, "")</f>
        <v>39.4</v>
      </c>
      <c r="E396" s="13">
        <f>IF(B396&gt;=$S$2, B396, 0)</f>
        <v>1</v>
      </c>
      <c r="F396" s="13">
        <f t="shared" si="1"/>
        <v>3.9400000000000559</v>
      </c>
      <c r="G396" s="13">
        <f t="shared" si="2"/>
        <v>0.10000000000000142</v>
      </c>
      <c r="H396" s="13">
        <f>IF(B396&gt;=$T$2, A396, "")</f>
        <v>39.4</v>
      </c>
      <c r="I396" s="14">
        <f t="shared" si="15"/>
        <v>1</v>
      </c>
      <c r="J396" s="14">
        <v>0.5</v>
      </c>
      <c r="K396" s="14">
        <f t="shared" si="16"/>
        <v>1</v>
      </c>
      <c r="L396" s="14">
        <v>0.4</v>
      </c>
      <c r="N396" s="4"/>
      <c r="O396" s="4"/>
      <c r="P396" s="5"/>
      <c r="Q396" s="1"/>
      <c r="R396" s="2"/>
      <c r="S396" s="2"/>
      <c r="T396" s="1"/>
      <c r="U396" s="2"/>
      <c r="V396" s="2"/>
      <c r="W396" s="2"/>
    </row>
    <row r="397" spans="1:23">
      <c r="A397" s="13">
        <v>39.5</v>
      </c>
      <c r="B397" s="13">
        <f t="shared" si="0"/>
        <v>1</v>
      </c>
      <c r="C397" s="13">
        <f>IF(B397&gt;=$S$2, A397, "")</f>
        <v>39.5</v>
      </c>
      <c r="D397" s="13">
        <f>IF(AND(B397=1, B397&gt;=$S$2), A397, "")</f>
        <v>39.5</v>
      </c>
      <c r="E397" s="13">
        <f>IF(B397&gt;=$S$2, B397, 0)</f>
        <v>1</v>
      </c>
      <c r="F397" s="13">
        <f t="shared" si="1"/>
        <v>3.9500000000000561</v>
      </c>
      <c r="G397" s="13">
        <f t="shared" si="2"/>
        <v>0.10000000000000142</v>
      </c>
      <c r="H397" s="13">
        <f>IF(B397&gt;=$T$2, A397, "")</f>
        <v>39.5</v>
      </c>
      <c r="I397" s="14">
        <f t="shared" si="15"/>
        <v>1</v>
      </c>
      <c r="J397" s="14">
        <v>0.5</v>
      </c>
      <c r="K397" s="14">
        <f t="shared" si="16"/>
        <v>1</v>
      </c>
      <c r="L397" s="14">
        <v>0.4</v>
      </c>
      <c r="N397" s="4"/>
      <c r="O397" s="4"/>
      <c r="P397" s="5"/>
      <c r="Q397" s="1"/>
      <c r="R397" s="2"/>
      <c r="S397" s="2"/>
      <c r="T397" s="1"/>
      <c r="U397" s="2"/>
      <c r="V397" s="2"/>
      <c r="W397" s="2"/>
    </row>
    <row r="398" spans="1:23">
      <c r="A398" s="13">
        <v>39.6</v>
      </c>
      <c r="B398" s="13">
        <f t="shared" si="0"/>
        <v>1</v>
      </c>
      <c r="C398" s="13">
        <f>IF(B398&gt;=$S$2, A398, "")</f>
        <v>39.6</v>
      </c>
      <c r="D398" s="13">
        <f>IF(AND(B398=1, B398&gt;=$S$2), A398, "")</f>
        <v>39.6</v>
      </c>
      <c r="E398" s="13">
        <f>IF(B398&gt;=$S$2, B398, 0)</f>
        <v>1</v>
      </c>
      <c r="F398" s="13">
        <f t="shared" si="1"/>
        <v>3.9600000000000564</v>
      </c>
      <c r="G398" s="13">
        <f t="shared" si="2"/>
        <v>0.10000000000000142</v>
      </c>
      <c r="H398" s="13">
        <f>IF(B398&gt;=$T$2, A398, "")</f>
        <v>39.6</v>
      </c>
      <c r="I398" s="14">
        <f t="shared" si="15"/>
        <v>1</v>
      </c>
      <c r="J398" s="14">
        <v>0.5</v>
      </c>
      <c r="K398" s="14">
        <f t="shared" si="16"/>
        <v>1</v>
      </c>
      <c r="L398" s="14">
        <v>0.4</v>
      </c>
      <c r="N398" s="4"/>
      <c r="O398" s="4"/>
      <c r="P398" s="5"/>
      <c r="Q398" s="1"/>
      <c r="R398" s="2"/>
      <c r="S398" s="2"/>
      <c r="T398" s="1"/>
      <c r="U398" s="2"/>
      <c r="V398" s="2"/>
      <c r="W398" s="2"/>
    </row>
    <row r="399" spans="1:23">
      <c r="A399" s="13">
        <v>39.700000000000003</v>
      </c>
      <c r="B399" s="13">
        <f t="shared" si="0"/>
        <v>1</v>
      </c>
      <c r="C399" s="13">
        <f>IF(B399&gt;=$S$2, A399, "")</f>
        <v>39.700000000000003</v>
      </c>
      <c r="D399" s="13">
        <f>IF(AND(B399=1, B399&gt;=$S$2), A399, "")</f>
        <v>39.700000000000003</v>
      </c>
      <c r="E399" s="13">
        <f>IF(B399&gt;=$S$2, B399, 0)</f>
        <v>1</v>
      </c>
      <c r="F399" s="13">
        <f t="shared" si="1"/>
        <v>3.9699999999997746</v>
      </c>
      <c r="G399" s="13">
        <f t="shared" si="2"/>
        <v>9.9999999999994316E-2</v>
      </c>
      <c r="H399" s="13">
        <f>IF(B399&gt;=$T$2, A399, "")</f>
        <v>39.700000000000003</v>
      </c>
      <c r="I399" s="14">
        <f t="shared" si="15"/>
        <v>1</v>
      </c>
      <c r="J399" s="14">
        <v>0.5</v>
      </c>
      <c r="K399" s="14">
        <f t="shared" si="16"/>
        <v>1</v>
      </c>
      <c r="L399" s="14">
        <v>0.4</v>
      </c>
      <c r="N399" s="4"/>
      <c r="O399" s="4"/>
      <c r="P399" s="5"/>
      <c r="Q399" s="1"/>
      <c r="R399" s="2"/>
      <c r="S399" s="2"/>
      <c r="T399" s="1"/>
      <c r="U399" s="2"/>
      <c r="V399" s="2"/>
      <c r="W399" s="2"/>
    </row>
    <row r="400" spans="1:23">
      <c r="A400" s="13">
        <v>39.799999999999997</v>
      </c>
      <c r="B400" s="13">
        <f t="shared" si="0"/>
        <v>1</v>
      </c>
      <c r="C400" s="13">
        <f>IF(B400&gt;=$S$2, A400, "")</f>
        <v>39.799999999999997</v>
      </c>
      <c r="D400" s="13">
        <f>IF(AND(B400=1, B400&gt;=$S$2), A400, "")</f>
        <v>39.799999999999997</v>
      </c>
      <c r="E400" s="13">
        <f>IF(B400&gt;=$S$2, B400, 0)</f>
        <v>1</v>
      </c>
      <c r="F400" s="13">
        <f t="shared" si="1"/>
        <v>3.9800000000000564</v>
      </c>
      <c r="G400" s="13">
        <f t="shared" si="2"/>
        <v>0.10000000000000142</v>
      </c>
      <c r="H400" s="13">
        <f>IF(B400&gt;=$T$2, A400, "")</f>
        <v>39.799999999999997</v>
      </c>
      <c r="I400" s="14">
        <f t="shared" si="15"/>
        <v>1</v>
      </c>
      <c r="J400" s="14">
        <v>0.5</v>
      </c>
      <c r="K400" s="14">
        <f t="shared" si="16"/>
        <v>1</v>
      </c>
      <c r="L400" s="14">
        <v>0.4</v>
      </c>
      <c r="N400" s="4"/>
      <c r="O400" s="4"/>
      <c r="P400" s="5"/>
      <c r="Q400" s="1"/>
      <c r="R400" s="2"/>
      <c r="S400" s="2"/>
      <c r="T400" s="1"/>
      <c r="U400" s="2"/>
      <c r="V400" s="2"/>
      <c r="W400" s="2"/>
    </row>
    <row r="401" spans="1:23">
      <c r="A401" s="13">
        <v>39.9</v>
      </c>
      <c r="B401" s="13">
        <f t="shared" si="0"/>
        <v>1</v>
      </c>
      <c r="C401" s="13">
        <f>IF(B401&gt;=$S$2, A401, "")</f>
        <v>39.9</v>
      </c>
      <c r="D401" s="13">
        <f>IF(AND(B401=1, B401&gt;=$S$2), A401, "")</f>
        <v>39.9</v>
      </c>
      <c r="E401" s="13">
        <f>IF(B401&gt;=$S$2, B401, 0)</f>
        <v>1</v>
      </c>
      <c r="F401" s="13">
        <f t="shared" si="1"/>
        <v>3.9900000000000566</v>
      </c>
      <c r="G401" s="13">
        <f t="shared" si="2"/>
        <v>0.10000000000000142</v>
      </c>
      <c r="H401" s="13">
        <f>IF(B401&gt;=$T$2, A401, "")</f>
        <v>39.9</v>
      </c>
      <c r="I401" s="14">
        <f t="shared" si="15"/>
        <v>1</v>
      </c>
      <c r="J401" s="14">
        <v>0.5</v>
      </c>
      <c r="K401" s="14">
        <f t="shared" si="16"/>
        <v>1</v>
      </c>
      <c r="L401" s="14">
        <v>0.4</v>
      </c>
      <c r="N401" s="4"/>
      <c r="O401" s="4"/>
      <c r="P401" s="5"/>
      <c r="Q401" s="1"/>
      <c r="R401" s="2"/>
      <c r="S401" s="2"/>
      <c r="T401" s="1"/>
      <c r="U401" s="2"/>
      <c r="V401" s="2"/>
      <c r="W401" s="2"/>
    </row>
    <row r="402" spans="1:23">
      <c r="A402" s="13">
        <v>40</v>
      </c>
      <c r="B402" s="13">
        <f t="shared" si="0"/>
        <v>1</v>
      </c>
      <c r="C402" s="13">
        <f>IF(B402&gt;=$S$2, A402, "")</f>
        <v>40</v>
      </c>
      <c r="D402" s="13">
        <f>IF(AND(B402=1, B402&gt;=$S$2), A402, "")</f>
        <v>40</v>
      </c>
      <c r="E402" s="13">
        <f>IF(B402&gt;=$S$2, B402, 0)</f>
        <v>1</v>
      </c>
      <c r="F402" s="13">
        <f t="shared" si="1"/>
        <v>4.0000000000000568</v>
      </c>
      <c r="G402" s="13">
        <f t="shared" si="2"/>
        <v>0.10000000000000142</v>
      </c>
      <c r="H402" s="13">
        <f>IF(B402&gt;=$T$2, A402, "")</f>
        <v>40</v>
      </c>
      <c r="I402" s="14">
        <f t="shared" si="15"/>
        <v>1</v>
      </c>
      <c r="J402" s="14">
        <v>0.5</v>
      </c>
      <c r="K402" s="14">
        <f t="shared" si="16"/>
        <v>1</v>
      </c>
      <c r="L402" s="14">
        <v>0.4</v>
      </c>
      <c r="N402" s="4"/>
      <c r="O402" s="4"/>
      <c r="P402" s="5"/>
      <c r="Q402" s="1"/>
      <c r="R402" s="2"/>
      <c r="S402" s="2"/>
      <c r="T402" s="1"/>
      <c r="U402" s="2"/>
      <c r="V402" s="2"/>
      <c r="W402" s="2"/>
    </row>
    <row r="403" spans="1:23">
      <c r="A403" s="13">
        <v>40.1</v>
      </c>
      <c r="B403" s="13">
        <f t="shared" si="0"/>
        <v>1</v>
      </c>
      <c r="C403" s="13">
        <f>IF(B403&gt;=$S$2, A403, "")</f>
        <v>40.1</v>
      </c>
      <c r="D403" s="13">
        <f>IF(AND(B403=1, B403&gt;=$S$2), A403, "")</f>
        <v>40.1</v>
      </c>
      <c r="E403" s="13">
        <f>IF(B403&gt;=$S$2, B403, 0)</f>
        <v>1</v>
      </c>
      <c r="F403" s="13">
        <f t="shared" si="1"/>
        <v>4.0100000000000575</v>
      </c>
      <c r="G403" s="13">
        <f t="shared" si="2"/>
        <v>0.10000000000000142</v>
      </c>
      <c r="H403" s="13">
        <f>IF(B403&gt;=$T$2, A403, "")</f>
        <v>40.1</v>
      </c>
      <c r="I403" s="14">
        <f t="shared" si="15"/>
        <v>1</v>
      </c>
      <c r="J403" s="14">
        <v>0.5</v>
      </c>
      <c r="K403" s="14">
        <f t="shared" si="16"/>
        <v>1</v>
      </c>
      <c r="L403" s="14">
        <v>0.4</v>
      </c>
      <c r="N403" s="4"/>
      <c r="O403" s="4"/>
      <c r="P403" s="5"/>
      <c r="Q403" s="1"/>
      <c r="R403" s="2"/>
      <c r="S403" s="2"/>
      <c r="T403" s="1"/>
      <c r="U403" s="2"/>
      <c r="V403" s="2"/>
      <c r="W403" s="2"/>
    </row>
    <row r="404" spans="1:23">
      <c r="A404" s="13">
        <v>40.200000000000003</v>
      </c>
      <c r="B404" s="13">
        <f t="shared" si="0"/>
        <v>1</v>
      </c>
      <c r="C404" s="13">
        <f>IF(B404&gt;=$S$2, A404, "")</f>
        <v>40.200000000000003</v>
      </c>
      <c r="D404" s="13">
        <f>IF(AND(B404=1, B404&gt;=$S$2), A404, "")</f>
        <v>40.200000000000003</v>
      </c>
      <c r="E404" s="13">
        <f>IF(B404&gt;=$S$2, B404, 0)</f>
        <v>1</v>
      </c>
      <c r="F404" s="13">
        <f t="shared" si="1"/>
        <v>4.0199999999997722</v>
      </c>
      <c r="G404" s="13">
        <f t="shared" si="2"/>
        <v>9.9999999999994316E-2</v>
      </c>
      <c r="H404" s="13">
        <f>IF(B404&gt;=$T$2, A404, "")</f>
        <v>40.200000000000003</v>
      </c>
      <c r="I404" s="14">
        <f t="shared" si="15"/>
        <v>1</v>
      </c>
      <c r="J404" s="14">
        <v>0.5</v>
      </c>
      <c r="K404" s="14">
        <f t="shared" si="16"/>
        <v>1</v>
      </c>
      <c r="L404" s="14">
        <v>0.4</v>
      </c>
      <c r="N404" s="4"/>
      <c r="O404" s="4"/>
      <c r="P404" s="5"/>
      <c r="Q404" s="1"/>
      <c r="R404" s="2"/>
      <c r="S404" s="2"/>
      <c r="T404" s="1"/>
      <c r="U404" s="2"/>
      <c r="V404" s="2"/>
      <c r="W404" s="2"/>
    </row>
    <row r="405" spans="1:23">
      <c r="A405" s="13">
        <v>40.299999999999997</v>
      </c>
      <c r="B405" s="13">
        <f t="shared" si="0"/>
        <v>1</v>
      </c>
      <c r="C405" s="13">
        <f>IF(B405&gt;=$S$2, A405, "")</f>
        <v>40.299999999999997</v>
      </c>
      <c r="D405" s="13">
        <f>IF(AND(B405=1, B405&gt;=$S$2), A405, "")</f>
        <v>40.299999999999997</v>
      </c>
      <c r="E405" s="13">
        <f>IF(B405&gt;=$S$2, B405, 0)</f>
        <v>1</v>
      </c>
      <c r="F405" s="13">
        <f t="shared" si="1"/>
        <v>4.0300000000000571</v>
      </c>
      <c r="G405" s="13">
        <f t="shared" si="2"/>
        <v>0.10000000000000142</v>
      </c>
      <c r="H405" s="13">
        <f>IF(B405&gt;=$T$2, A405, "")</f>
        <v>40.299999999999997</v>
      </c>
      <c r="I405" s="14">
        <f t="shared" si="15"/>
        <v>1</v>
      </c>
      <c r="J405" s="14">
        <v>0.5</v>
      </c>
      <c r="K405" s="14">
        <f t="shared" si="16"/>
        <v>1</v>
      </c>
      <c r="L405" s="14">
        <v>0.4</v>
      </c>
      <c r="N405" s="4"/>
      <c r="O405" s="4"/>
      <c r="P405" s="5"/>
      <c r="Q405" s="1"/>
      <c r="R405" s="2"/>
      <c r="S405" s="2"/>
      <c r="T405" s="1"/>
      <c r="U405" s="2"/>
      <c r="V405" s="2"/>
      <c r="W405" s="2"/>
    </row>
    <row r="406" spans="1:23">
      <c r="A406" s="13">
        <v>40.4</v>
      </c>
      <c r="B406" s="13">
        <f t="shared" si="0"/>
        <v>1</v>
      </c>
      <c r="C406" s="13">
        <f>IF(B406&gt;=$S$2, A406, "")</f>
        <v>40.4</v>
      </c>
      <c r="D406" s="13">
        <f>IF(AND(B406=1, B406&gt;=$S$2), A406, "")</f>
        <v>40.4</v>
      </c>
      <c r="E406" s="13">
        <f>IF(B406&gt;=$S$2, B406, 0)</f>
        <v>1</v>
      </c>
      <c r="F406" s="13">
        <f t="shared" si="1"/>
        <v>4.0400000000000569</v>
      </c>
      <c r="G406" s="13">
        <f t="shared" si="2"/>
        <v>0.10000000000000142</v>
      </c>
      <c r="H406" s="13">
        <f>IF(B406&gt;=$T$2, A406, "")</f>
        <v>40.4</v>
      </c>
      <c r="I406" s="14">
        <f t="shared" si="15"/>
        <v>1</v>
      </c>
      <c r="J406" s="14">
        <v>0.5</v>
      </c>
      <c r="K406" s="14">
        <f t="shared" si="16"/>
        <v>1</v>
      </c>
      <c r="L406" s="14">
        <v>0.4</v>
      </c>
      <c r="N406" s="4"/>
      <c r="O406" s="4"/>
      <c r="P406" s="5"/>
      <c r="Q406" s="1"/>
      <c r="R406" s="2"/>
      <c r="S406" s="2"/>
      <c r="T406" s="1"/>
      <c r="U406" s="2"/>
      <c r="V406" s="2"/>
      <c r="W406" s="2"/>
    </row>
    <row r="407" spans="1:23">
      <c r="A407" s="13">
        <v>40.5</v>
      </c>
      <c r="B407" s="13">
        <f t="shared" si="0"/>
        <v>1</v>
      </c>
      <c r="C407" s="13">
        <f>IF(B407&gt;=$S$2, A407, "")</f>
        <v>40.5</v>
      </c>
      <c r="D407" s="13">
        <f>IF(AND(B407=1, B407&gt;=$S$2), A407, "")</f>
        <v>40.5</v>
      </c>
      <c r="E407" s="13">
        <f>IF(B407&gt;=$S$2, B407, 0)</f>
        <v>1</v>
      </c>
      <c r="F407" s="13">
        <f t="shared" si="1"/>
        <v>4.0500000000000576</v>
      </c>
      <c r="G407" s="13">
        <f t="shared" si="2"/>
        <v>0.10000000000000142</v>
      </c>
      <c r="H407" s="13">
        <f>IF(B407&gt;=$T$2, A407, "")</f>
        <v>40.5</v>
      </c>
      <c r="I407" s="14">
        <f t="shared" si="15"/>
        <v>1</v>
      </c>
      <c r="J407" s="14">
        <v>0.5</v>
      </c>
      <c r="K407" s="14">
        <f t="shared" si="16"/>
        <v>1</v>
      </c>
      <c r="L407" s="14">
        <v>0.4</v>
      </c>
      <c r="N407" s="4"/>
      <c r="O407" s="4"/>
      <c r="P407" s="5"/>
      <c r="Q407" s="1"/>
      <c r="R407" s="2"/>
      <c r="S407" s="2"/>
      <c r="T407" s="1"/>
      <c r="U407" s="2"/>
      <c r="V407" s="2"/>
      <c r="W407" s="2"/>
    </row>
    <row r="408" spans="1:23">
      <c r="A408" s="13">
        <v>40.6</v>
      </c>
      <c r="B408" s="13">
        <f t="shared" si="0"/>
        <v>1</v>
      </c>
      <c r="C408" s="13">
        <f>IF(B408&gt;=$S$2, A408, "")</f>
        <v>40.6</v>
      </c>
      <c r="D408" s="13">
        <f>IF(AND(B408=1, B408&gt;=$S$2), A408, "")</f>
        <v>40.6</v>
      </c>
      <c r="E408" s="13">
        <f>IF(B408&gt;=$S$2, B408, 0)</f>
        <v>1</v>
      </c>
      <c r="F408" s="13">
        <f t="shared" si="1"/>
        <v>4.0600000000000582</v>
      </c>
      <c r="G408" s="13">
        <f t="shared" si="2"/>
        <v>0.10000000000000142</v>
      </c>
      <c r="H408" s="13">
        <f>IF(B408&gt;=$T$2, A408, "")</f>
        <v>40.6</v>
      </c>
      <c r="I408" s="14">
        <f t="shared" si="15"/>
        <v>1</v>
      </c>
      <c r="J408" s="14">
        <v>0.5</v>
      </c>
      <c r="K408" s="14">
        <f t="shared" si="16"/>
        <v>1</v>
      </c>
      <c r="L408" s="14">
        <v>0.4</v>
      </c>
      <c r="N408" s="4"/>
      <c r="O408" s="4"/>
      <c r="P408" s="5"/>
      <c r="Q408" s="1"/>
      <c r="R408" s="2"/>
      <c r="S408" s="2"/>
      <c r="T408" s="1"/>
      <c r="U408" s="2"/>
      <c r="V408" s="2"/>
      <c r="W408" s="2"/>
    </row>
    <row r="409" spans="1:23">
      <c r="A409" s="13">
        <v>40.700000000000003</v>
      </c>
      <c r="B409" s="13">
        <f t="shared" si="0"/>
        <v>1</v>
      </c>
      <c r="C409" s="13">
        <f>IF(B409&gt;=$S$2, A409, "")</f>
        <v>40.700000000000003</v>
      </c>
      <c r="D409" s="13">
        <f>IF(AND(B409=1, B409&gt;=$S$2), A409, "")</f>
        <v>40.700000000000003</v>
      </c>
      <c r="E409" s="13">
        <f>IF(B409&gt;=$S$2, B409, 0)</f>
        <v>1</v>
      </c>
      <c r="F409" s="13">
        <f t="shared" si="1"/>
        <v>4.0699999999997694</v>
      </c>
      <c r="G409" s="13">
        <f t="shared" si="2"/>
        <v>9.9999999999994316E-2</v>
      </c>
      <c r="H409" s="13">
        <f>IF(B409&gt;=$T$2, A409, "")</f>
        <v>40.700000000000003</v>
      </c>
      <c r="I409" s="14">
        <f t="shared" si="15"/>
        <v>1</v>
      </c>
      <c r="J409" s="14">
        <v>0.5</v>
      </c>
      <c r="K409" s="14">
        <f t="shared" si="16"/>
        <v>1</v>
      </c>
      <c r="L409" s="14">
        <v>0.4</v>
      </c>
      <c r="N409" s="4"/>
      <c r="O409" s="4"/>
      <c r="P409" s="5"/>
      <c r="Q409" s="1"/>
      <c r="R409" s="2"/>
      <c r="S409" s="2"/>
      <c r="T409" s="1"/>
      <c r="U409" s="2"/>
      <c r="V409" s="2"/>
      <c r="W409" s="2"/>
    </row>
    <row r="410" spans="1:23">
      <c r="A410" s="13">
        <v>40.799999999999997</v>
      </c>
      <c r="B410" s="13">
        <f t="shared" si="0"/>
        <v>1</v>
      </c>
      <c r="C410" s="13">
        <f>IF(B410&gt;=$S$2, A410, "")</f>
        <v>40.799999999999997</v>
      </c>
      <c r="D410" s="13">
        <f>IF(AND(B410=1, B410&gt;=$S$2), A410, "")</f>
        <v>40.799999999999997</v>
      </c>
      <c r="E410" s="13">
        <f>IF(B410&gt;=$S$2, B410, 0)</f>
        <v>1</v>
      </c>
      <c r="F410" s="13">
        <f t="shared" si="1"/>
        <v>4.0800000000000578</v>
      </c>
      <c r="G410" s="13">
        <f t="shared" si="2"/>
        <v>0.10000000000000142</v>
      </c>
      <c r="H410" s="13">
        <f>IF(B410&gt;=$T$2, A410, "")</f>
        <v>40.799999999999997</v>
      </c>
      <c r="I410" s="14">
        <f t="shared" si="15"/>
        <v>1</v>
      </c>
      <c r="J410" s="14">
        <v>0.5</v>
      </c>
      <c r="K410" s="14">
        <f t="shared" si="16"/>
        <v>1</v>
      </c>
      <c r="L410" s="14">
        <v>0.4</v>
      </c>
      <c r="N410" s="4"/>
      <c r="O410" s="4"/>
      <c r="P410" s="5"/>
      <c r="Q410" s="1"/>
      <c r="R410" s="2"/>
      <c r="S410" s="2"/>
      <c r="T410" s="1"/>
      <c r="U410" s="2"/>
      <c r="V410" s="2"/>
      <c r="W410" s="2"/>
    </row>
    <row r="411" spans="1:23">
      <c r="A411" s="13">
        <v>40.9</v>
      </c>
      <c r="B411" s="13">
        <f t="shared" si="0"/>
        <v>1</v>
      </c>
      <c r="C411" s="13">
        <f>IF(B411&gt;=$S$2, A411, "")</f>
        <v>40.9</v>
      </c>
      <c r="D411" s="13">
        <f>IF(AND(B411=1, B411&gt;=$S$2), A411, "")</f>
        <v>40.9</v>
      </c>
      <c r="E411" s="13">
        <f>IF(B411&gt;=$S$2, B411, 0)</f>
        <v>1</v>
      </c>
      <c r="F411" s="13">
        <f t="shared" si="1"/>
        <v>4.0900000000000576</v>
      </c>
      <c r="G411" s="13">
        <f t="shared" si="2"/>
        <v>0.10000000000000142</v>
      </c>
      <c r="H411" s="13">
        <f>IF(B411&gt;=$T$2, A411, "")</f>
        <v>40.9</v>
      </c>
      <c r="I411" s="14">
        <f t="shared" si="15"/>
        <v>1</v>
      </c>
      <c r="J411" s="14">
        <v>0.5</v>
      </c>
      <c r="K411" s="14">
        <f t="shared" si="16"/>
        <v>1</v>
      </c>
      <c r="L411" s="14">
        <v>0.4</v>
      </c>
      <c r="N411" s="4"/>
      <c r="O411" s="4"/>
      <c r="P411" s="5"/>
      <c r="Q411" s="1"/>
      <c r="R411" s="2"/>
      <c r="S411" s="2"/>
      <c r="T411" s="1"/>
      <c r="U411" s="2"/>
      <c r="V411" s="2"/>
      <c r="W411" s="2"/>
    </row>
    <row r="412" spans="1:23">
      <c r="A412" s="13">
        <v>41</v>
      </c>
      <c r="B412" s="13">
        <f t="shared" si="0"/>
        <v>1</v>
      </c>
      <c r="C412" s="13">
        <f>IF(B412&gt;=$S$2, A412, "")</f>
        <v>41</v>
      </c>
      <c r="D412" s="13">
        <f>IF(AND(B412=1, B412&gt;=$S$2), A412, "")</f>
        <v>41</v>
      </c>
      <c r="E412" s="13">
        <f>IF(B412&gt;=$S$2, B412, 0)</f>
        <v>1</v>
      </c>
      <c r="F412" s="13">
        <f t="shared" si="1"/>
        <v>4.1000000000000583</v>
      </c>
      <c r="G412" s="13">
        <f t="shared" si="2"/>
        <v>0.10000000000000142</v>
      </c>
      <c r="H412" s="13">
        <f>IF(B412&gt;=$T$2, A412, "")</f>
        <v>41</v>
      </c>
      <c r="I412" s="14">
        <f t="shared" si="15"/>
        <v>1</v>
      </c>
      <c r="J412" s="14">
        <v>0.5</v>
      </c>
      <c r="K412" s="14">
        <f t="shared" si="16"/>
        <v>1</v>
      </c>
      <c r="L412" s="14">
        <v>0.4</v>
      </c>
      <c r="N412" s="4"/>
      <c r="O412" s="4"/>
      <c r="P412" s="5"/>
      <c r="Q412" s="1"/>
      <c r="R412" s="2"/>
      <c r="S412" s="2"/>
      <c r="T412" s="1"/>
      <c r="U412" s="2"/>
      <c r="V412" s="2"/>
      <c r="W412" s="2"/>
    </row>
    <row r="413" spans="1:23">
      <c r="A413" s="13">
        <v>41.1</v>
      </c>
      <c r="B413" s="13">
        <f t="shared" si="0"/>
        <v>1</v>
      </c>
      <c r="C413" s="13">
        <f>IF(B413&gt;=$S$2, A413, "")</f>
        <v>41.1</v>
      </c>
      <c r="D413" s="13">
        <f>IF(AND(B413=1, B413&gt;=$S$2), A413, "")</f>
        <v>41.1</v>
      </c>
      <c r="E413" s="13">
        <f>IF(B413&gt;=$S$2, B413, 0)</f>
        <v>1</v>
      </c>
      <c r="F413" s="13">
        <f t="shared" si="1"/>
        <v>4.1100000000000589</v>
      </c>
      <c r="G413" s="13">
        <f t="shared" si="2"/>
        <v>0.10000000000000142</v>
      </c>
      <c r="H413" s="13">
        <f>IF(B413&gt;=$T$2, A413, "")</f>
        <v>41.1</v>
      </c>
      <c r="I413" s="14">
        <f t="shared" si="15"/>
        <v>1</v>
      </c>
      <c r="J413" s="14">
        <v>0.5</v>
      </c>
      <c r="K413" s="14">
        <f t="shared" si="16"/>
        <v>1</v>
      </c>
      <c r="L413" s="14">
        <v>0.4</v>
      </c>
      <c r="N413" s="4"/>
      <c r="O413" s="4"/>
      <c r="P413" s="5"/>
      <c r="Q413" s="1"/>
      <c r="R413" s="2"/>
      <c r="S413" s="2"/>
      <c r="T413" s="1"/>
      <c r="U413" s="2"/>
      <c r="V413" s="2"/>
      <c r="W413" s="2"/>
    </row>
    <row r="414" spans="1:23">
      <c r="A414" s="13">
        <v>41.2</v>
      </c>
      <c r="B414" s="13">
        <f t="shared" si="0"/>
        <v>1</v>
      </c>
      <c r="C414" s="13">
        <f>IF(B414&gt;=$S$2, A414, "")</f>
        <v>41.2</v>
      </c>
      <c r="D414" s="13">
        <f>IF(AND(B414=1, B414&gt;=$S$2), A414, "")</f>
        <v>41.2</v>
      </c>
      <c r="E414" s="13">
        <f>IF(B414&gt;=$S$2, B414, 0)</f>
        <v>1</v>
      </c>
      <c r="F414" s="13">
        <f t="shared" si="1"/>
        <v>4.1199999999997665</v>
      </c>
      <c r="G414" s="13">
        <f t="shared" si="2"/>
        <v>9.9999999999994316E-2</v>
      </c>
      <c r="H414" s="13">
        <f>IF(B414&gt;=$T$2, A414, "")</f>
        <v>41.2</v>
      </c>
      <c r="I414" s="14">
        <f t="shared" si="15"/>
        <v>1</v>
      </c>
      <c r="J414" s="14">
        <v>0.5</v>
      </c>
      <c r="K414" s="14">
        <f t="shared" si="16"/>
        <v>1</v>
      </c>
      <c r="L414" s="14">
        <v>0.4</v>
      </c>
      <c r="N414" s="4"/>
      <c r="O414" s="4"/>
      <c r="P414" s="5"/>
      <c r="Q414" s="1"/>
      <c r="R414" s="2"/>
      <c r="S414" s="2"/>
      <c r="T414" s="1"/>
      <c r="U414" s="2"/>
      <c r="V414" s="2"/>
      <c r="W414" s="2"/>
    </row>
    <row r="415" spans="1:23">
      <c r="A415" s="13">
        <v>41.3</v>
      </c>
      <c r="B415" s="13">
        <f t="shared" si="0"/>
        <v>1</v>
      </c>
      <c r="C415" s="13">
        <f>IF(B415&gt;=$S$2, A415, "")</f>
        <v>41.3</v>
      </c>
      <c r="D415" s="13">
        <f>IF(AND(B415=1, B415&gt;=$S$2), A415, "")</f>
        <v>41.3</v>
      </c>
      <c r="E415" s="13">
        <f>IF(B415&gt;=$S$2, B415, 0)</f>
        <v>1</v>
      </c>
      <c r="F415" s="13">
        <f t="shared" si="1"/>
        <v>4.1300000000000585</v>
      </c>
      <c r="G415" s="13">
        <f t="shared" si="2"/>
        <v>0.10000000000000142</v>
      </c>
      <c r="H415" s="13">
        <f>IF(B415&gt;=$T$2, A415, "")</f>
        <v>41.3</v>
      </c>
      <c r="I415" s="14">
        <f t="shared" si="15"/>
        <v>1</v>
      </c>
      <c r="J415" s="14">
        <v>0.5</v>
      </c>
      <c r="K415" s="14">
        <f t="shared" si="16"/>
        <v>1</v>
      </c>
      <c r="L415" s="14">
        <v>0.4</v>
      </c>
      <c r="N415" s="4"/>
      <c r="O415" s="4"/>
      <c r="P415" s="5"/>
      <c r="Q415" s="1"/>
      <c r="R415" s="2"/>
      <c r="S415" s="2"/>
      <c r="T415" s="1"/>
      <c r="U415" s="2"/>
      <c r="V415" s="2"/>
      <c r="W415" s="2"/>
    </row>
    <row r="416" spans="1:23">
      <c r="A416" s="13">
        <v>41.4</v>
      </c>
      <c r="B416" s="13">
        <f t="shared" si="0"/>
        <v>1</v>
      </c>
      <c r="C416" s="13">
        <f>IF(B416&gt;=$S$2, A416, "")</f>
        <v>41.4</v>
      </c>
      <c r="D416" s="13">
        <f>IF(AND(B416=1, B416&gt;=$S$2), A416, "")</f>
        <v>41.4</v>
      </c>
      <c r="E416" s="13">
        <f>IF(B416&gt;=$S$2, B416, 0)</f>
        <v>1</v>
      </c>
      <c r="F416" s="13">
        <f t="shared" si="1"/>
        <v>4.1400000000000583</v>
      </c>
      <c r="G416" s="13">
        <f t="shared" si="2"/>
        <v>0.10000000000000142</v>
      </c>
      <c r="H416" s="13">
        <f>IF(B416&gt;=$T$2, A416, "")</f>
        <v>41.4</v>
      </c>
      <c r="I416" s="14">
        <f t="shared" si="15"/>
        <v>1</v>
      </c>
      <c r="J416" s="14">
        <v>0.5</v>
      </c>
      <c r="K416" s="14">
        <f t="shared" si="16"/>
        <v>1</v>
      </c>
      <c r="L416" s="14">
        <v>0.4</v>
      </c>
      <c r="N416" s="4"/>
      <c r="O416" s="4"/>
      <c r="P416" s="5"/>
      <c r="Q416" s="1"/>
      <c r="R416" s="2"/>
      <c r="S416" s="2"/>
      <c r="T416" s="1"/>
      <c r="U416" s="2"/>
      <c r="V416" s="2"/>
      <c r="W416" s="2"/>
    </row>
    <row r="417" spans="1:23">
      <c r="A417" s="13">
        <v>41.5</v>
      </c>
      <c r="B417" s="13">
        <f t="shared" si="0"/>
        <v>1</v>
      </c>
      <c r="C417" s="13">
        <f>IF(B417&gt;=$S$2, A417, "")</f>
        <v>41.5</v>
      </c>
      <c r="D417" s="13">
        <f>IF(AND(B417=1, B417&gt;=$S$2), A417, "")</f>
        <v>41.5</v>
      </c>
      <c r="E417" s="13">
        <f>IF(B417&gt;=$S$2, B417, 0)</f>
        <v>1</v>
      </c>
      <c r="F417" s="13">
        <f t="shared" si="1"/>
        <v>4.150000000000059</v>
      </c>
      <c r="G417" s="13">
        <f t="shared" si="2"/>
        <v>0.10000000000000142</v>
      </c>
      <c r="H417" s="13">
        <f>IF(B417&gt;=$T$2, A417, "")</f>
        <v>41.5</v>
      </c>
      <c r="I417" s="14">
        <f t="shared" si="15"/>
        <v>1</v>
      </c>
      <c r="J417" s="14">
        <v>0.5</v>
      </c>
      <c r="K417" s="14">
        <f t="shared" si="16"/>
        <v>1</v>
      </c>
      <c r="L417" s="14">
        <v>0.4</v>
      </c>
      <c r="N417" s="4"/>
      <c r="O417" s="4"/>
      <c r="P417" s="5"/>
      <c r="Q417" s="1"/>
      <c r="R417" s="2"/>
      <c r="S417" s="2"/>
      <c r="T417" s="1"/>
      <c r="U417" s="2"/>
      <c r="V417" s="2"/>
      <c r="W417" s="2"/>
    </row>
    <row r="418" spans="1:23">
      <c r="A418" s="13">
        <v>41.6</v>
      </c>
      <c r="B418" s="13">
        <f t="shared" si="0"/>
        <v>1</v>
      </c>
      <c r="C418" s="13">
        <f>IF(B418&gt;=$S$2, A418, "")</f>
        <v>41.6</v>
      </c>
      <c r="D418" s="13">
        <f>IF(AND(B418=1, B418&gt;=$S$2), A418, "")</f>
        <v>41.6</v>
      </c>
      <c r="E418" s="13">
        <f>IF(B418&gt;=$S$2, B418, 0)</f>
        <v>1</v>
      </c>
      <c r="F418" s="13">
        <f t="shared" si="1"/>
        <v>4.1600000000000597</v>
      </c>
      <c r="G418" s="13">
        <f t="shared" si="2"/>
        <v>0.10000000000000142</v>
      </c>
      <c r="H418" s="13">
        <f>IF(B418&gt;=$T$2, A418, "")</f>
        <v>41.6</v>
      </c>
      <c r="I418" s="14">
        <f t="shared" si="15"/>
        <v>1</v>
      </c>
      <c r="J418" s="14">
        <v>0.5</v>
      </c>
      <c r="K418" s="14">
        <f t="shared" si="16"/>
        <v>1</v>
      </c>
      <c r="L418" s="14">
        <v>0.4</v>
      </c>
      <c r="N418" s="4"/>
      <c r="O418" s="4"/>
      <c r="P418" s="5"/>
      <c r="Q418" s="1"/>
      <c r="R418" s="2"/>
      <c r="S418" s="2"/>
      <c r="T418" s="1"/>
      <c r="U418" s="2"/>
      <c r="V418" s="2"/>
      <c r="W418" s="2"/>
    </row>
    <row r="419" spans="1:23">
      <c r="A419" s="13">
        <v>41.7</v>
      </c>
      <c r="B419" s="13">
        <f t="shared" si="0"/>
        <v>1</v>
      </c>
      <c r="C419" s="13">
        <f>IF(B419&gt;=$S$2, A419, "")</f>
        <v>41.7</v>
      </c>
      <c r="D419" s="13">
        <f>IF(AND(B419=1, B419&gt;=$S$2), A419, "")</f>
        <v>41.7</v>
      </c>
      <c r="E419" s="13">
        <f>IF(B419&gt;=$S$2, B419, 0)</f>
        <v>1</v>
      </c>
      <c r="F419" s="13">
        <f t="shared" si="1"/>
        <v>4.1699999999997637</v>
      </c>
      <c r="G419" s="13">
        <f t="shared" si="2"/>
        <v>9.9999999999994316E-2</v>
      </c>
      <c r="H419" s="13">
        <f>IF(B419&gt;=$T$2, A419, "")</f>
        <v>41.7</v>
      </c>
      <c r="I419" s="14">
        <f t="shared" si="15"/>
        <v>1</v>
      </c>
      <c r="J419" s="14">
        <v>0.5</v>
      </c>
      <c r="K419" s="14">
        <f t="shared" si="16"/>
        <v>1</v>
      </c>
      <c r="L419" s="14">
        <v>0.4</v>
      </c>
      <c r="N419" s="4"/>
      <c r="O419" s="4"/>
      <c r="P419" s="5"/>
      <c r="Q419" s="1"/>
      <c r="R419" s="2"/>
      <c r="S419" s="2"/>
      <c r="T419" s="1"/>
      <c r="U419" s="2"/>
      <c r="V419" s="2"/>
      <c r="W419" s="2"/>
    </row>
    <row r="420" spans="1:23">
      <c r="A420" s="13">
        <v>41.8</v>
      </c>
      <c r="B420" s="13">
        <f t="shared" si="0"/>
        <v>1</v>
      </c>
      <c r="C420" s="13">
        <f>IF(B420&gt;=$S$2, A420, "")</f>
        <v>41.8</v>
      </c>
      <c r="D420" s="13">
        <f>IF(AND(B420=1, B420&gt;=$S$2), A420, "")</f>
        <v>41.8</v>
      </c>
      <c r="E420" s="13">
        <f>IF(B420&gt;=$S$2, B420, 0)</f>
        <v>1</v>
      </c>
      <c r="F420" s="13">
        <f t="shared" si="1"/>
        <v>4.1800000000000592</v>
      </c>
      <c r="G420" s="13">
        <f t="shared" si="2"/>
        <v>0.10000000000000142</v>
      </c>
      <c r="H420" s="13">
        <f>IF(B420&gt;=$T$2, A420, "")</f>
        <v>41.8</v>
      </c>
      <c r="I420" s="14">
        <f t="shared" si="15"/>
        <v>1</v>
      </c>
      <c r="J420" s="14">
        <v>0.5</v>
      </c>
      <c r="K420" s="14">
        <f t="shared" si="16"/>
        <v>1</v>
      </c>
      <c r="L420" s="14">
        <v>0.4</v>
      </c>
      <c r="N420" s="4"/>
      <c r="O420" s="4"/>
      <c r="P420" s="5"/>
      <c r="Q420" s="1"/>
      <c r="R420" s="2"/>
      <c r="S420" s="2"/>
      <c r="T420" s="1"/>
      <c r="U420" s="2"/>
      <c r="V420" s="2"/>
      <c r="W420" s="2"/>
    </row>
    <row r="421" spans="1:23">
      <c r="A421" s="13">
        <v>41.9</v>
      </c>
      <c r="B421" s="13">
        <f t="shared" si="0"/>
        <v>1</v>
      </c>
      <c r="C421" s="13">
        <f>IF(B421&gt;=$S$2, A421, "")</f>
        <v>41.9</v>
      </c>
      <c r="D421" s="13">
        <f>IF(AND(B421=1, B421&gt;=$S$2), A421, "")</f>
        <v>41.9</v>
      </c>
      <c r="E421" s="13">
        <f>IF(B421&gt;=$S$2, B421, 0)</f>
        <v>1</v>
      </c>
      <c r="F421" s="13">
        <f t="shared" si="1"/>
        <v>4.190000000000059</v>
      </c>
      <c r="G421" s="13">
        <f t="shared" si="2"/>
        <v>0.10000000000000142</v>
      </c>
      <c r="H421" s="13">
        <f>IF(B421&gt;=$T$2, A421, "")</f>
        <v>41.9</v>
      </c>
      <c r="I421" s="14">
        <f t="shared" si="15"/>
        <v>1</v>
      </c>
      <c r="J421" s="14">
        <v>0.5</v>
      </c>
      <c r="K421" s="14">
        <f t="shared" si="16"/>
        <v>1</v>
      </c>
      <c r="L421" s="14">
        <v>0.4</v>
      </c>
      <c r="N421" s="4"/>
      <c r="O421" s="4"/>
      <c r="P421" s="5"/>
      <c r="Q421" s="1"/>
      <c r="R421" s="2"/>
      <c r="S421" s="2"/>
      <c r="T421" s="1"/>
      <c r="U421" s="2"/>
      <c r="V421" s="2"/>
      <c r="W421" s="2"/>
    </row>
    <row r="422" spans="1:23">
      <c r="A422" s="13">
        <v>42</v>
      </c>
      <c r="B422" s="13">
        <f t="shared" si="0"/>
        <v>1</v>
      </c>
      <c r="C422" s="13">
        <f>IF(B422&gt;=$S$2, A422, "")</f>
        <v>42</v>
      </c>
      <c r="D422" s="13">
        <f>IF(AND(B422=1, B422&gt;=$S$2), A422, "")</f>
        <v>42</v>
      </c>
      <c r="E422" s="13">
        <f>IF(B422&gt;=$S$2, B422, 0)</f>
        <v>1</v>
      </c>
      <c r="F422" s="13">
        <f t="shared" si="1"/>
        <v>4.2000000000000597</v>
      </c>
      <c r="G422" s="13">
        <f t="shared" si="2"/>
        <v>0.10000000000000142</v>
      </c>
      <c r="H422" s="13">
        <f>IF(B422&gt;=$T$2, A422, "")</f>
        <v>42</v>
      </c>
      <c r="I422" s="14">
        <f t="shared" si="15"/>
        <v>1</v>
      </c>
      <c r="J422" s="14">
        <v>0.5</v>
      </c>
      <c r="K422" s="14">
        <f t="shared" si="16"/>
        <v>1</v>
      </c>
      <c r="L422" s="14">
        <v>0.4</v>
      </c>
      <c r="N422" s="4"/>
      <c r="O422" s="4"/>
      <c r="P422" s="5"/>
      <c r="Q422" s="1"/>
      <c r="R422" s="2"/>
      <c r="S422" s="2"/>
      <c r="T422" s="1"/>
      <c r="U422" s="2"/>
      <c r="V422" s="2"/>
      <c r="W422" s="2"/>
    </row>
    <row r="423" spans="1:23">
      <c r="A423" s="13">
        <v>42.1</v>
      </c>
      <c r="B423" s="13">
        <f t="shared" si="0"/>
        <v>1</v>
      </c>
      <c r="C423" s="13">
        <f>IF(B423&gt;=$S$2, A423, "")</f>
        <v>42.1</v>
      </c>
      <c r="D423" s="13">
        <f>IF(AND(B423=1, B423&gt;=$S$2), A423, "")</f>
        <v>42.1</v>
      </c>
      <c r="E423" s="13">
        <f>IF(B423&gt;=$S$2, B423, 0)</f>
        <v>1</v>
      </c>
      <c r="F423" s="13">
        <f t="shared" si="1"/>
        <v>4.2100000000000604</v>
      </c>
      <c r="G423" s="13">
        <f t="shared" si="2"/>
        <v>0.10000000000000142</v>
      </c>
      <c r="H423" s="13">
        <f>IF(B423&gt;=$T$2, A423, "")</f>
        <v>42.1</v>
      </c>
      <c r="I423" s="14">
        <f t="shared" si="15"/>
        <v>1</v>
      </c>
      <c r="J423" s="14">
        <v>0.5</v>
      </c>
      <c r="K423" s="14">
        <f t="shared" si="16"/>
        <v>1</v>
      </c>
      <c r="L423" s="14">
        <v>0.4</v>
      </c>
      <c r="N423" s="4"/>
      <c r="O423" s="4"/>
      <c r="P423" s="5"/>
      <c r="Q423" s="1"/>
      <c r="R423" s="2"/>
      <c r="S423" s="2"/>
      <c r="T423" s="1"/>
      <c r="U423" s="2"/>
      <c r="V423" s="2"/>
      <c r="W423" s="2"/>
    </row>
    <row r="424" spans="1:23">
      <c r="A424" s="13">
        <v>42.2</v>
      </c>
      <c r="B424" s="13">
        <f t="shared" si="0"/>
        <v>1</v>
      </c>
      <c r="C424" s="13">
        <f>IF(B424&gt;=$S$2, A424, "")</f>
        <v>42.2</v>
      </c>
      <c r="D424" s="13">
        <f>IF(AND(B424=1, B424&gt;=$S$2), A424, "")</f>
        <v>42.2</v>
      </c>
      <c r="E424" s="13">
        <f>IF(B424&gt;=$S$2, B424, 0)</f>
        <v>1</v>
      </c>
      <c r="F424" s="13">
        <f t="shared" si="1"/>
        <v>4.2199999999997608</v>
      </c>
      <c r="G424" s="13">
        <f t="shared" si="2"/>
        <v>9.9999999999994316E-2</v>
      </c>
      <c r="H424" s="13">
        <f>IF(B424&gt;=$T$2, A424, "")</f>
        <v>42.2</v>
      </c>
      <c r="I424" s="14">
        <f t="shared" si="15"/>
        <v>1</v>
      </c>
      <c r="J424" s="14">
        <v>0.5</v>
      </c>
      <c r="K424" s="14">
        <f t="shared" si="16"/>
        <v>1</v>
      </c>
      <c r="L424" s="14">
        <v>0.4</v>
      </c>
      <c r="N424" s="4"/>
      <c r="O424" s="4"/>
      <c r="P424" s="5"/>
      <c r="Q424" s="1"/>
      <c r="R424" s="2"/>
      <c r="S424" s="2"/>
      <c r="T424" s="1"/>
      <c r="U424" s="2"/>
      <c r="V424" s="2"/>
      <c r="W424" s="2"/>
    </row>
    <row r="425" spans="1:23">
      <c r="A425" s="13">
        <v>42.3</v>
      </c>
      <c r="B425" s="13">
        <f t="shared" si="0"/>
        <v>1</v>
      </c>
      <c r="C425" s="13">
        <f>IF(B425&gt;=$S$2, A425, "")</f>
        <v>42.3</v>
      </c>
      <c r="D425" s="13">
        <f>IF(AND(B425=1, B425&gt;=$S$2), A425, "")</f>
        <v>42.3</v>
      </c>
      <c r="E425" s="13">
        <f>IF(B425&gt;=$S$2, B425, 0)</f>
        <v>1</v>
      </c>
      <c r="F425" s="13">
        <f t="shared" si="1"/>
        <v>4.2300000000000599</v>
      </c>
      <c r="G425" s="13">
        <f t="shared" si="2"/>
        <v>0.10000000000000142</v>
      </c>
      <c r="H425" s="13">
        <f>IF(B425&gt;=$T$2, A425, "")</f>
        <v>42.3</v>
      </c>
      <c r="I425" s="14">
        <f t="shared" si="15"/>
        <v>1</v>
      </c>
      <c r="J425" s="14">
        <v>0.5</v>
      </c>
      <c r="K425" s="14">
        <f t="shared" si="16"/>
        <v>1</v>
      </c>
      <c r="L425" s="14">
        <v>0.4</v>
      </c>
      <c r="N425" s="4"/>
      <c r="O425" s="4"/>
      <c r="P425" s="5"/>
      <c r="Q425" s="1"/>
      <c r="R425" s="2"/>
      <c r="S425" s="2"/>
      <c r="T425" s="1"/>
      <c r="U425" s="2"/>
      <c r="V425" s="2"/>
      <c r="W425" s="2"/>
    </row>
    <row r="426" spans="1:23">
      <c r="A426" s="13">
        <v>42.4</v>
      </c>
      <c r="B426" s="13">
        <f t="shared" si="0"/>
        <v>1</v>
      </c>
      <c r="C426" s="13">
        <f>IF(B426&gt;=$S$2, A426, "")</f>
        <v>42.4</v>
      </c>
      <c r="D426" s="13">
        <f>IF(AND(B426=1, B426&gt;=$S$2), A426, "")</f>
        <v>42.4</v>
      </c>
      <c r="E426" s="13">
        <f>IF(B426&gt;=$S$2, B426, 0)</f>
        <v>1</v>
      </c>
      <c r="F426" s="13">
        <f t="shared" si="1"/>
        <v>4.2400000000000597</v>
      </c>
      <c r="G426" s="13">
        <f t="shared" si="2"/>
        <v>0.10000000000000142</v>
      </c>
      <c r="H426" s="13">
        <f>IF(B426&gt;=$T$2, A426, "")</f>
        <v>42.4</v>
      </c>
      <c r="I426" s="14">
        <f t="shared" si="15"/>
        <v>1</v>
      </c>
      <c r="J426" s="14">
        <v>0.5</v>
      </c>
      <c r="K426" s="14">
        <f t="shared" si="16"/>
        <v>1</v>
      </c>
      <c r="L426" s="14">
        <v>0.4</v>
      </c>
      <c r="N426" s="4"/>
      <c r="O426" s="4"/>
      <c r="P426" s="5"/>
      <c r="Q426" s="1"/>
      <c r="R426" s="2"/>
      <c r="S426" s="2"/>
      <c r="T426" s="1"/>
      <c r="U426" s="2"/>
      <c r="V426" s="2"/>
      <c r="W426" s="2"/>
    </row>
    <row r="427" spans="1:23">
      <c r="A427" s="13">
        <v>42.5</v>
      </c>
      <c r="B427" s="13">
        <f t="shared" si="0"/>
        <v>1</v>
      </c>
      <c r="C427" s="13">
        <f>IF(B427&gt;=$S$2, A427, "")</f>
        <v>42.5</v>
      </c>
      <c r="D427" s="13">
        <f>IF(AND(B427=1, B427&gt;=$S$2), A427, "")</f>
        <v>42.5</v>
      </c>
      <c r="E427" s="13">
        <f>IF(B427&gt;=$S$2, B427, 0)</f>
        <v>1</v>
      </c>
      <c r="F427" s="13">
        <f t="shared" si="1"/>
        <v>4.2500000000000604</v>
      </c>
      <c r="G427" s="13">
        <f t="shared" si="2"/>
        <v>0.10000000000000142</v>
      </c>
      <c r="H427" s="13">
        <f>IF(B427&gt;=$T$2, A427, "")</f>
        <v>42.5</v>
      </c>
      <c r="I427" s="14">
        <f t="shared" si="15"/>
        <v>1</v>
      </c>
      <c r="J427" s="14">
        <v>0.5</v>
      </c>
      <c r="K427" s="14">
        <f t="shared" si="16"/>
        <v>1</v>
      </c>
      <c r="L427" s="14">
        <v>0.4</v>
      </c>
      <c r="N427" s="4"/>
      <c r="O427" s="4"/>
      <c r="P427" s="5"/>
      <c r="Q427" s="1"/>
      <c r="R427" s="2"/>
      <c r="S427" s="2"/>
      <c r="T427" s="1"/>
      <c r="U427" s="2"/>
      <c r="V427" s="2"/>
      <c r="W427" s="2"/>
    </row>
    <row r="428" spans="1:23">
      <c r="A428" s="13">
        <v>42.6</v>
      </c>
      <c r="B428" s="13">
        <f t="shared" si="0"/>
        <v>1</v>
      </c>
      <c r="C428" s="13">
        <f>IF(B428&gt;=$S$2, A428, "")</f>
        <v>42.6</v>
      </c>
      <c r="D428" s="13">
        <f>IF(AND(B428=1, B428&gt;=$S$2), A428, "")</f>
        <v>42.6</v>
      </c>
      <c r="E428" s="13">
        <f>IF(B428&gt;=$S$2, B428, 0)</f>
        <v>1</v>
      </c>
      <c r="F428" s="13">
        <f t="shared" si="1"/>
        <v>4.2600000000000611</v>
      </c>
      <c r="G428" s="13">
        <f t="shared" si="2"/>
        <v>0.10000000000000142</v>
      </c>
      <c r="H428" s="13">
        <f>IF(B428&gt;=$T$2, A428, "")</f>
        <v>42.6</v>
      </c>
      <c r="I428" s="14">
        <f t="shared" si="15"/>
        <v>1</v>
      </c>
      <c r="J428" s="14">
        <v>0.5</v>
      </c>
      <c r="K428" s="14">
        <f t="shared" si="16"/>
        <v>1</v>
      </c>
      <c r="L428" s="14">
        <v>0.4</v>
      </c>
      <c r="N428" s="4"/>
      <c r="O428" s="4"/>
      <c r="P428" s="5"/>
      <c r="Q428" s="1"/>
      <c r="R428" s="2"/>
      <c r="S428" s="2"/>
      <c r="T428" s="1"/>
      <c r="U428" s="2"/>
      <c r="V428" s="2"/>
      <c r="W428" s="2"/>
    </row>
    <row r="429" spans="1:23">
      <c r="A429" s="13">
        <v>42.7</v>
      </c>
      <c r="B429" s="13">
        <f t="shared" si="0"/>
        <v>1</v>
      </c>
      <c r="C429" s="13">
        <f>IF(B429&gt;=$S$2, A429, "")</f>
        <v>42.7</v>
      </c>
      <c r="D429" s="13">
        <f>IF(AND(B429=1, B429&gt;=$S$2), A429, "")</f>
        <v>42.7</v>
      </c>
      <c r="E429" s="13">
        <f>IF(B429&gt;=$S$2, B429, 0)</f>
        <v>1</v>
      </c>
      <c r="F429" s="13">
        <f t="shared" si="1"/>
        <v>4.269999999999758</v>
      </c>
      <c r="G429" s="13">
        <f t="shared" si="2"/>
        <v>9.9999999999994316E-2</v>
      </c>
      <c r="H429" s="13">
        <f>IF(B429&gt;=$T$2, A429, "")</f>
        <v>42.7</v>
      </c>
      <c r="I429" s="14">
        <f t="shared" si="15"/>
        <v>1</v>
      </c>
      <c r="J429" s="14">
        <v>0.5</v>
      </c>
      <c r="K429" s="14">
        <f t="shared" si="16"/>
        <v>1</v>
      </c>
      <c r="L429" s="14">
        <v>0.4</v>
      </c>
      <c r="N429" s="4"/>
      <c r="O429" s="4"/>
      <c r="P429" s="5"/>
      <c r="Q429" s="1"/>
      <c r="R429" s="2"/>
      <c r="S429" s="2"/>
      <c r="T429" s="1"/>
      <c r="U429" s="2"/>
      <c r="V429" s="2"/>
      <c r="W429" s="2"/>
    </row>
    <row r="430" spans="1:23">
      <c r="A430" s="13">
        <v>42.8</v>
      </c>
      <c r="B430" s="13">
        <f t="shared" si="0"/>
        <v>1</v>
      </c>
      <c r="C430" s="13">
        <f>IF(B430&gt;=$S$2, A430, "")</f>
        <v>42.8</v>
      </c>
      <c r="D430" s="13">
        <f>IF(AND(B430=1, B430&gt;=$S$2), A430, "")</f>
        <v>42.8</v>
      </c>
      <c r="E430" s="13">
        <f>IF(B430&gt;=$S$2, B430, 0)</f>
        <v>1</v>
      </c>
      <c r="F430" s="13">
        <f t="shared" si="1"/>
        <v>4.2800000000000606</v>
      </c>
      <c r="G430" s="13">
        <f t="shared" si="2"/>
        <v>0.10000000000000142</v>
      </c>
      <c r="H430" s="13">
        <f>IF(B430&gt;=$T$2, A430, "")</f>
        <v>42.8</v>
      </c>
      <c r="I430" s="14">
        <f t="shared" si="15"/>
        <v>1</v>
      </c>
      <c r="J430" s="14">
        <v>0.5</v>
      </c>
      <c r="K430" s="14">
        <f t="shared" si="16"/>
        <v>1</v>
      </c>
      <c r="L430" s="14">
        <v>0.4</v>
      </c>
      <c r="N430" s="4"/>
      <c r="O430" s="4"/>
      <c r="P430" s="5"/>
      <c r="Q430" s="1"/>
      <c r="R430" s="2"/>
      <c r="S430" s="2"/>
      <c r="T430" s="1"/>
      <c r="U430" s="2"/>
      <c r="V430" s="2"/>
      <c r="W430" s="2"/>
    </row>
    <row r="431" spans="1:23">
      <c r="A431" s="13">
        <v>42.9</v>
      </c>
      <c r="B431" s="13">
        <f t="shared" si="0"/>
        <v>1</v>
      </c>
      <c r="C431" s="13">
        <f>IF(B431&gt;=$S$2, A431, "")</f>
        <v>42.9</v>
      </c>
      <c r="D431" s="13">
        <f>IF(AND(B431=1, B431&gt;=$S$2), A431, "")</f>
        <v>42.9</v>
      </c>
      <c r="E431" s="13">
        <f>IF(B431&gt;=$S$2, B431, 0)</f>
        <v>1</v>
      </c>
      <c r="F431" s="13">
        <f t="shared" si="1"/>
        <v>4.2900000000000604</v>
      </c>
      <c r="G431" s="13">
        <f t="shared" si="2"/>
        <v>0.10000000000000142</v>
      </c>
      <c r="H431" s="13">
        <f>IF(B431&gt;=$T$2, A431, "")</f>
        <v>42.9</v>
      </c>
      <c r="I431" s="14">
        <f t="shared" si="15"/>
        <v>1</v>
      </c>
      <c r="J431" s="14">
        <v>0.5</v>
      </c>
      <c r="K431" s="14">
        <f t="shared" si="16"/>
        <v>1</v>
      </c>
      <c r="L431" s="14">
        <v>0.4</v>
      </c>
      <c r="N431" s="4"/>
      <c r="O431" s="4"/>
      <c r="P431" s="5"/>
      <c r="Q431" s="1"/>
      <c r="R431" s="2"/>
      <c r="S431" s="2"/>
      <c r="T431" s="1"/>
      <c r="U431" s="2"/>
      <c r="V431" s="2"/>
      <c r="W431" s="2"/>
    </row>
    <row r="432" spans="1:23">
      <c r="A432" s="13">
        <v>43</v>
      </c>
      <c r="B432" s="13">
        <f t="shared" si="0"/>
        <v>1</v>
      </c>
      <c r="C432" s="13">
        <f>IF(B432&gt;=$S$2, A432, "")</f>
        <v>43</v>
      </c>
      <c r="D432" s="13">
        <f>IF(AND(B432=1, B432&gt;=$S$2), A432, "")</f>
        <v>43</v>
      </c>
      <c r="E432" s="13">
        <f>IF(B432&gt;=$S$2, B432, 0)</f>
        <v>1</v>
      </c>
      <c r="F432" s="13">
        <f t="shared" si="1"/>
        <v>4.3000000000000611</v>
      </c>
      <c r="G432" s="13">
        <f t="shared" si="2"/>
        <v>0.10000000000000142</v>
      </c>
      <c r="H432" s="13">
        <f>IF(B432&gt;=$T$2, A432, "")</f>
        <v>43</v>
      </c>
      <c r="I432" s="14">
        <f t="shared" si="15"/>
        <v>1</v>
      </c>
      <c r="J432" s="14">
        <v>0.5</v>
      </c>
      <c r="K432" s="14">
        <f t="shared" si="16"/>
        <v>1</v>
      </c>
      <c r="L432" s="14">
        <v>0.4</v>
      </c>
      <c r="N432" s="4"/>
      <c r="O432" s="4"/>
      <c r="P432" s="5"/>
      <c r="Q432" s="1"/>
      <c r="R432" s="2"/>
      <c r="S432" s="2"/>
      <c r="T432" s="1"/>
      <c r="U432" s="2"/>
      <c r="V432" s="2"/>
      <c r="W432" s="2"/>
    </row>
    <row r="433" spans="1:23">
      <c r="A433" s="13">
        <v>43.1</v>
      </c>
      <c r="B433" s="13">
        <f t="shared" si="0"/>
        <v>1</v>
      </c>
      <c r="C433" s="13">
        <f>IF(B433&gt;=$S$2, A433, "")</f>
        <v>43.1</v>
      </c>
      <c r="D433" s="13">
        <f>IF(AND(B433=1, B433&gt;=$S$2), A433, "")</f>
        <v>43.1</v>
      </c>
      <c r="E433" s="13">
        <f>IF(B433&gt;=$S$2, B433, 0)</f>
        <v>1</v>
      </c>
      <c r="F433" s="13">
        <f t="shared" si="1"/>
        <v>4.3100000000000618</v>
      </c>
      <c r="G433" s="13">
        <f t="shared" si="2"/>
        <v>0.10000000000000142</v>
      </c>
      <c r="H433" s="13">
        <f>IF(B433&gt;=$T$2, A433, "")</f>
        <v>43.1</v>
      </c>
      <c r="I433" s="14">
        <f t="shared" si="15"/>
        <v>1</v>
      </c>
      <c r="J433" s="14">
        <v>0.5</v>
      </c>
      <c r="K433" s="14">
        <f t="shared" si="16"/>
        <v>1</v>
      </c>
      <c r="L433" s="14">
        <v>0.4</v>
      </c>
      <c r="N433" s="4"/>
      <c r="O433" s="4"/>
      <c r="P433" s="5"/>
      <c r="Q433" s="1"/>
      <c r="R433" s="2"/>
      <c r="S433" s="2"/>
      <c r="T433" s="1"/>
      <c r="U433" s="2"/>
      <c r="V433" s="2"/>
      <c r="W433" s="2"/>
    </row>
    <row r="434" spans="1:23">
      <c r="A434" s="13">
        <v>43.2</v>
      </c>
      <c r="B434" s="13">
        <f t="shared" si="0"/>
        <v>1</v>
      </c>
      <c r="C434" s="13">
        <f>IF(B434&gt;=$S$2, A434, "")</f>
        <v>43.2</v>
      </c>
      <c r="D434" s="13">
        <f>IF(AND(B434=1, B434&gt;=$S$2), A434, "")</f>
        <v>43.2</v>
      </c>
      <c r="E434" s="13">
        <f>IF(B434&gt;=$S$2, B434, 0)</f>
        <v>1</v>
      </c>
      <c r="F434" s="13">
        <f t="shared" si="1"/>
        <v>4.3199999999997551</v>
      </c>
      <c r="G434" s="13">
        <f t="shared" si="2"/>
        <v>9.9999999999994316E-2</v>
      </c>
      <c r="H434" s="13">
        <f>IF(B434&gt;=$T$2, A434, "")</f>
        <v>43.2</v>
      </c>
      <c r="I434" s="14">
        <f t="shared" si="15"/>
        <v>1</v>
      </c>
      <c r="J434" s="14">
        <v>0.5</v>
      </c>
      <c r="K434" s="14">
        <f t="shared" si="16"/>
        <v>1</v>
      </c>
      <c r="L434" s="14">
        <v>0.4</v>
      </c>
      <c r="N434" s="4"/>
      <c r="O434" s="4"/>
      <c r="P434" s="5"/>
      <c r="Q434" s="1"/>
      <c r="R434" s="2"/>
      <c r="S434" s="2"/>
      <c r="T434" s="1"/>
      <c r="U434" s="2"/>
      <c r="V434" s="2"/>
      <c r="W434" s="2"/>
    </row>
    <row r="435" spans="1:23">
      <c r="A435" s="13">
        <v>43.3</v>
      </c>
      <c r="B435" s="13">
        <f t="shared" si="0"/>
        <v>1</v>
      </c>
      <c r="C435" s="13">
        <f>IF(B435&gt;=$S$2, A435, "")</f>
        <v>43.3</v>
      </c>
      <c r="D435" s="13">
        <f>IF(AND(B435=1, B435&gt;=$S$2), A435, "")</f>
        <v>43.3</v>
      </c>
      <c r="E435" s="13">
        <f>IF(B435&gt;=$S$2, B435, 0)</f>
        <v>1</v>
      </c>
      <c r="F435" s="13">
        <f t="shared" si="1"/>
        <v>4.3300000000000614</v>
      </c>
      <c r="G435" s="13">
        <f t="shared" si="2"/>
        <v>0.10000000000000142</v>
      </c>
      <c r="H435" s="13">
        <f>IF(B435&gt;=$T$2, A435, "")</f>
        <v>43.3</v>
      </c>
      <c r="I435" s="14">
        <f t="shared" si="15"/>
        <v>1</v>
      </c>
      <c r="J435" s="14">
        <v>0.5</v>
      </c>
      <c r="K435" s="14">
        <f t="shared" si="16"/>
        <v>1</v>
      </c>
      <c r="L435" s="14">
        <v>0.4</v>
      </c>
      <c r="N435" s="4"/>
      <c r="O435" s="4"/>
      <c r="P435" s="5"/>
      <c r="Q435" s="1"/>
      <c r="R435" s="2"/>
      <c r="S435" s="2"/>
      <c r="T435" s="1"/>
      <c r="U435" s="2"/>
      <c r="V435" s="2"/>
      <c r="W435" s="2"/>
    </row>
    <row r="436" spans="1:23">
      <c r="A436" s="13">
        <v>43.4</v>
      </c>
      <c r="B436" s="13">
        <f t="shared" si="0"/>
        <v>1</v>
      </c>
      <c r="C436" s="13">
        <f>IF(B436&gt;=$S$2, A436, "")</f>
        <v>43.4</v>
      </c>
      <c r="D436" s="13">
        <f>IF(AND(B436=1, B436&gt;=$S$2), A436, "")</f>
        <v>43.4</v>
      </c>
      <c r="E436" s="13">
        <f>IF(B436&gt;=$S$2, B436, 0)</f>
        <v>1</v>
      </c>
      <c r="F436" s="13">
        <f t="shared" si="1"/>
        <v>4.3400000000000611</v>
      </c>
      <c r="G436" s="13">
        <f t="shared" si="2"/>
        <v>0.10000000000000142</v>
      </c>
      <c r="H436" s="13">
        <f>IF(B436&gt;=$T$2, A436, "")</f>
        <v>43.4</v>
      </c>
      <c r="I436" s="14">
        <f t="shared" si="15"/>
        <v>1</v>
      </c>
      <c r="J436" s="14">
        <v>0.5</v>
      </c>
      <c r="K436" s="14">
        <f t="shared" si="16"/>
        <v>1</v>
      </c>
      <c r="L436" s="14">
        <v>0.4</v>
      </c>
      <c r="N436" s="4"/>
      <c r="O436" s="4"/>
      <c r="P436" s="5"/>
      <c r="Q436" s="1"/>
      <c r="R436" s="2"/>
      <c r="S436" s="2"/>
      <c r="T436" s="1"/>
      <c r="U436" s="2"/>
      <c r="V436" s="2"/>
      <c r="W436" s="2"/>
    </row>
    <row r="437" spans="1:23">
      <c r="A437" s="13">
        <v>43.5</v>
      </c>
      <c r="B437" s="13">
        <f t="shared" si="0"/>
        <v>1</v>
      </c>
      <c r="C437" s="13">
        <f>IF(B437&gt;=$S$2, A437, "")</f>
        <v>43.5</v>
      </c>
      <c r="D437" s="13">
        <f>IF(AND(B437=1, B437&gt;=$S$2), A437, "")</f>
        <v>43.5</v>
      </c>
      <c r="E437" s="13">
        <f>IF(B437&gt;=$S$2, B437, 0)</f>
        <v>1</v>
      </c>
      <c r="F437" s="13">
        <f t="shared" si="1"/>
        <v>4.3500000000000618</v>
      </c>
      <c r="G437" s="13">
        <f t="shared" si="2"/>
        <v>0.10000000000000142</v>
      </c>
      <c r="H437" s="13">
        <f>IF(B437&gt;=$T$2, A437, "")</f>
        <v>43.5</v>
      </c>
      <c r="I437" s="14">
        <f t="shared" si="15"/>
        <v>1</v>
      </c>
      <c r="J437" s="14">
        <v>0.5</v>
      </c>
      <c r="K437" s="14">
        <f t="shared" si="16"/>
        <v>1</v>
      </c>
      <c r="L437" s="14">
        <v>0.4</v>
      </c>
      <c r="N437" s="4"/>
      <c r="O437" s="4"/>
      <c r="P437" s="5"/>
      <c r="Q437" s="1"/>
      <c r="R437" s="2"/>
      <c r="S437" s="2"/>
      <c r="T437" s="1"/>
      <c r="U437" s="2"/>
      <c r="V437" s="2"/>
      <c r="W437" s="2"/>
    </row>
    <row r="438" spans="1:23">
      <c r="A438" s="13">
        <v>43.6</v>
      </c>
      <c r="B438" s="13">
        <f t="shared" si="0"/>
        <v>1</v>
      </c>
      <c r="C438" s="13">
        <f>IF(B438&gt;=$S$2, A438, "")</f>
        <v>43.6</v>
      </c>
      <c r="D438" s="13">
        <f>IF(AND(B438=1, B438&gt;=$S$2), A438, "")</f>
        <v>43.6</v>
      </c>
      <c r="E438" s="13">
        <f>IF(B438&gt;=$S$2, B438, 0)</f>
        <v>1</v>
      </c>
      <c r="F438" s="13">
        <f t="shared" si="1"/>
        <v>4.3600000000000625</v>
      </c>
      <c r="G438" s="13">
        <f t="shared" si="2"/>
        <v>0.10000000000000142</v>
      </c>
      <c r="H438" s="13">
        <f>IF(B438&gt;=$T$2, A438, "")</f>
        <v>43.6</v>
      </c>
      <c r="I438" s="14">
        <f t="shared" si="15"/>
        <v>1</v>
      </c>
      <c r="J438" s="14">
        <v>0.5</v>
      </c>
      <c r="K438" s="14">
        <f t="shared" si="16"/>
        <v>1</v>
      </c>
      <c r="L438" s="14">
        <v>0.4</v>
      </c>
      <c r="N438" s="4"/>
      <c r="O438" s="4"/>
      <c r="P438" s="5"/>
      <c r="Q438" s="1"/>
      <c r="R438" s="2"/>
      <c r="S438" s="2"/>
      <c r="T438" s="1"/>
      <c r="U438" s="2"/>
      <c r="V438" s="2"/>
      <c r="W438" s="2"/>
    </row>
    <row r="439" spans="1:23">
      <c r="A439" s="13">
        <v>43.7</v>
      </c>
      <c r="B439" s="13">
        <f t="shared" si="0"/>
        <v>1</v>
      </c>
      <c r="C439" s="13">
        <f>IF(B439&gt;=$S$2, A439, "")</f>
        <v>43.7</v>
      </c>
      <c r="D439" s="13">
        <f>IF(AND(B439=1, B439&gt;=$S$2), A439, "")</f>
        <v>43.7</v>
      </c>
      <c r="E439" s="13">
        <f>IF(B439&gt;=$S$2, B439, 0)</f>
        <v>1</v>
      </c>
      <c r="F439" s="13">
        <f t="shared" si="1"/>
        <v>4.3699999999997523</v>
      </c>
      <c r="G439" s="13">
        <f t="shared" si="2"/>
        <v>9.9999999999994316E-2</v>
      </c>
      <c r="H439" s="13">
        <f>IF(B439&gt;=$T$2, A439, "")</f>
        <v>43.7</v>
      </c>
      <c r="I439" s="14">
        <f t="shared" si="15"/>
        <v>1</v>
      </c>
      <c r="J439" s="14">
        <v>0.5</v>
      </c>
      <c r="K439" s="14">
        <f t="shared" si="16"/>
        <v>1</v>
      </c>
      <c r="L439" s="14">
        <v>0.4</v>
      </c>
      <c r="N439" s="4"/>
      <c r="O439" s="4"/>
      <c r="P439" s="5"/>
      <c r="Q439" s="1"/>
      <c r="R439" s="2"/>
      <c r="S439" s="2"/>
      <c r="T439" s="1"/>
      <c r="U439" s="2"/>
      <c r="V439" s="2"/>
      <c r="W439" s="2"/>
    </row>
    <row r="440" spans="1:23">
      <c r="A440" s="13">
        <v>43.8</v>
      </c>
      <c r="B440" s="13">
        <f t="shared" si="0"/>
        <v>1</v>
      </c>
      <c r="C440" s="13">
        <f>IF(B440&gt;=$S$2, A440, "")</f>
        <v>43.8</v>
      </c>
      <c r="D440" s="13">
        <f>IF(AND(B440=1, B440&gt;=$S$2), A440, "")</f>
        <v>43.8</v>
      </c>
      <c r="E440" s="13">
        <f>IF(B440&gt;=$S$2, B440, 0)</f>
        <v>1</v>
      </c>
      <c r="F440" s="13">
        <f t="shared" si="1"/>
        <v>4.3800000000000621</v>
      </c>
      <c r="G440" s="13">
        <f t="shared" si="2"/>
        <v>0.10000000000000142</v>
      </c>
      <c r="H440" s="13">
        <f>IF(B440&gt;=$T$2, A440, "")</f>
        <v>43.8</v>
      </c>
      <c r="I440" s="14">
        <f t="shared" si="15"/>
        <v>1</v>
      </c>
      <c r="J440" s="14">
        <v>0.5</v>
      </c>
      <c r="K440" s="14">
        <f t="shared" si="16"/>
        <v>1</v>
      </c>
      <c r="L440" s="14">
        <v>0.4</v>
      </c>
      <c r="N440" s="4"/>
      <c r="O440" s="4"/>
      <c r="P440" s="5"/>
      <c r="Q440" s="1"/>
      <c r="R440" s="2"/>
      <c r="S440" s="2"/>
      <c r="T440" s="1"/>
      <c r="U440" s="2"/>
      <c r="V440" s="2"/>
      <c r="W440" s="2"/>
    </row>
    <row r="441" spans="1:23">
      <c r="A441" s="13">
        <v>43.9</v>
      </c>
      <c r="B441" s="13">
        <f t="shared" si="0"/>
        <v>1</v>
      </c>
      <c r="C441" s="13">
        <f>IF(B441&gt;=$S$2, A441, "")</f>
        <v>43.9</v>
      </c>
      <c r="D441" s="13">
        <f>IF(AND(B441=1, B441&gt;=$S$2), A441, "")</f>
        <v>43.9</v>
      </c>
      <c r="E441" s="13">
        <f>IF(B441&gt;=$S$2, B441, 0)</f>
        <v>1</v>
      </c>
      <c r="F441" s="13">
        <f t="shared" si="1"/>
        <v>4.3900000000000619</v>
      </c>
      <c r="G441" s="13">
        <f t="shared" si="2"/>
        <v>0.10000000000000142</v>
      </c>
      <c r="H441" s="13">
        <f>IF(B441&gt;=$T$2, A441, "")</f>
        <v>43.9</v>
      </c>
      <c r="I441" s="14">
        <f t="shared" si="15"/>
        <v>1</v>
      </c>
      <c r="J441" s="14">
        <v>0.5</v>
      </c>
      <c r="K441" s="14">
        <f t="shared" si="16"/>
        <v>1</v>
      </c>
      <c r="L441" s="14">
        <v>0.4</v>
      </c>
      <c r="N441" s="4"/>
      <c r="O441" s="4"/>
      <c r="P441" s="5"/>
      <c r="Q441" s="1"/>
      <c r="R441" s="2"/>
      <c r="S441" s="2"/>
      <c r="T441" s="1"/>
      <c r="U441" s="2"/>
      <c r="V441" s="2"/>
      <c r="W441" s="2"/>
    </row>
    <row r="442" spans="1:23">
      <c r="A442" s="13">
        <v>44</v>
      </c>
      <c r="B442" s="13">
        <f t="shared" si="0"/>
        <v>1</v>
      </c>
      <c r="C442" s="13">
        <f>IF(B442&gt;=$S$2, A442, "")</f>
        <v>44</v>
      </c>
      <c r="D442" s="13">
        <f>IF(AND(B442=1, B442&gt;=$S$2), A442, "")</f>
        <v>44</v>
      </c>
      <c r="E442" s="13">
        <f>IF(B442&gt;=$S$2, B442, 0)</f>
        <v>1</v>
      </c>
      <c r="F442" s="13">
        <f t="shared" si="1"/>
        <v>4.4000000000000625</v>
      </c>
      <c r="G442" s="13">
        <f t="shared" si="2"/>
        <v>0.10000000000000142</v>
      </c>
      <c r="H442" s="13">
        <f>IF(B442&gt;=$T$2, A442, "")</f>
        <v>44</v>
      </c>
      <c r="I442" s="14">
        <f t="shared" si="15"/>
        <v>1</v>
      </c>
      <c r="J442" s="14">
        <v>0.5</v>
      </c>
      <c r="K442" s="14">
        <f t="shared" si="16"/>
        <v>1</v>
      </c>
      <c r="L442" s="14">
        <v>0.4</v>
      </c>
      <c r="N442" s="4"/>
      <c r="O442" s="4"/>
      <c r="P442" s="5"/>
      <c r="Q442" s="1"/>
      <c r="R442" s="2"/>
      <c r="S442" s="2"/>
      <c r="T442" s="1"/>
      <c r="U442" s="2"/>
      <c r="V442" s="2"/>
      <c r="W442" s="2"/>
    </row>
    <row r="443" spans="1:23">
      <c r="A443" s="13">
        <v>44.1</v>
      </c>
      <c r="B443" s="13">
        <f t="shared" si="0"/>
        <v>1</v>
      </c>
      <c r="C443" s="13">
        <f>IF(B443&gt;=$S$2, A443, "")</f>
        <v>44.1</v>
      </c>
      <c r="D443" s="13">
        <f>IF(AND(B443=1, B443&gt;=$S$2), A443, "")</f>
        <v>44.1</v>
      </c>
      <c r="E443" s="13">
        <f>IF(B443&gt;=$S$2, B443, 0)</f>
        <v>1</v>
      </c>
      <c r="F443" s="13">
        <f t="shared" si="1"/>
        <v>4.4100000000000632</v>
      </c>
      <c r="G443" s="13">
        <f t="shared" si="2"/>
        <v>0.10000000000000142</v>
      </c>
      <c r="H443" s="13">
        <f>IF(B443&gt;=$T$2, A443, "")</f>
        <v>44.1</v>
      </c>
      <c r="I443" s="14">
        <f t="shared" si="15"/>
        <v>1</v>
      </c>
      <c r="J443" s="14">
        <v>0.5</v>
      </c>
      <c r="K443" s="14">
        <f t="shared" si="16"/>
        <v>1</v>
      </c>
      <c r="L443" s="14">
        <v>0.4</v>
      </c>
      <c r="N443" s="4"/>
      <c r="O443" s="4"/>
      <c r="P443" s="5"/>
      <c r="Q443" s="1"/>
      <c r="R443" s="2"/>
      <c r="S443" s="2"/>
      <c r="T443" s="1"/>
      <c r="U443" s="2"/>
      <c r="V443" s="2"/>
      <c r="W443" s="2"/>
    </row>
    <row r="444" spans="1:23">
      <c r="A444" s="13">
        <v>44.2</v>
      </c>
      <c r="B444" s="13">
        <f t="shared" si="0"/>
        <v>1</v>
      </c>
      <c r="C444" s="13">
        <f>IF(B444&gt;=$S$2, A444, "")</f>
        <v>44.2</v>
      </c>
      <c r="D444" s="13">
        <f>IF(AND(B444=1, B444&gt;=$S$2), A444, "")</f>
        <v>44.2</v>
      </c>
      <c r="E444" s="13">
        <f>IF(B444&gt;=$S$2, B444, 0)</f>
        <v>1</v>
      </c>
      <c r="F444" s="13">
        <f t="shared" si="1"/>
        <v>4.4199999999997495</v>
      </c>
      <c r="G444" s="13">
        <f t="shared" si="2"/>
        <v>9.9999999999994316E-2</v>
      </c>
      <c r="H444" s="13">
        <f>IF(B444&gt;=$T$2, A444, "")</f>
        <v>44.2</v>
      </c>
      <c r="I444" s="14">
        <f t="shared" si="15"/>
        <v>1</v>
      </c>
      <c r="J444" s="14">
        <v>0.5</v>
      </c>
      <c r="K444" s="14">
        <f t="shared" si="16"/>
        <v>1</v>
      </c>
      <c r="L444" s="14">
        <v>0.4</v>
      </c>
      <c r="N444" s="4"/>
      <c r="O444" s="4"/>
      <c r="P444" s="5"/>
      <c r="Q444" s="1"/>
      <c r="R444" s="2"/>
      <c r="S444" s="2"/>
      <c r="T444" s="1"/>
      <c r="U444" s="2"/>
      <c r="V444" s="2"/>
      <c r="W444" s="2"/>
    </row>
    <row r="445" spans="1:23">
      <c r="A445" s="13">
        <v>44.3</v>
      </c>
      <c r="B445" s="13">
        <f t="shared" si="0"/>
        <v>1</v>
      </c>
      <c r="C445" s="13">
        <f>IF(B445&gt;=$S$2, A445, "")</f>
        <v>44.3</v>
      </c>
      <c r="D445" s="13">
        <f>IF(AND(B445=1, B445&gt;=$S$2), A445, "")</f>
        <v>44.3</v>
      </c>
      <c r="E445" s="13">
        <f>IF(B445&gt;=$S$2, B445, 0)</f>
        <v>1</v>
      </c>
      <c r="F445" s="13">
        <f t="shared" si="1"/>
        <v>4.4300000000000628</v>
      </c>
      <c r="G445" s="13">
        <f t="shared" si="2"/>
        <v>0.10000000000000142</v>
      </c>
      <c r="H445" s="13">
        <f>IF(B445&gt;=$T$2, A445, "")</f>
        <v>44.3</v>
      </c>
      <c r="I445" s="14">
        <f t="shared" si="15"/>
        <v>1</v>
      </c>
      <c r="J445" s="14">
        <v>0.5</v>
      </c>
      <c r="K445" s="14">
        <f t="shared" si="16"/>
        <v>1</v>
      </c>
      <c r="L445" s="14">
        <v>0.4</v>
      </c>
      <c r="N445" s="4"/>
      <c r="O445" s="4"/>
      <c r="P445" s="5"/>
      <c r="Q445" s="1"/>
      <c r="R445" s="2"/>
      <c r="S445" s="2"/>
      <c r="T445" s="1"/>
      <c r="U445" s="2"/>
      <c r="V445" s="2"/>
      <c r="W445" s="2"/>
    </row>
    <row r="446" spans="1:23">
      <c r="A446" s="13">
        <v>44.4</v>
      </c>
      <c r="B446" s="13">
        <f t="shared" si="0"/>
        <v>1</v>
      </c>
      <c r="C446" s="13">
        <f>IF(B446&gt;=$S$2, A446, "")</f>
        <v>44.4</v>
      </c>
      <c r="D446" s="13">
        <f>IF(AND(B446=1, B446&gt;=$S$2), A446, "")</f>
        <v>44.4</v>
      </c>
      <c r="E446" s="13">
        <f>IF(B446&gt;=$S$2, B446, 0)</f>
        <v>1</v>
      </c>
      <c r="F446" s="13">
        <f t="shared" si="1"/>
        <v>4.4400000000000626</v>
      </c>
      <c r="G446" s="13">
        <f t="shared" si="2"/>
        <v>0.10000000000000142</v>
      </c>
      <c r="H446" s="13">
        <f>IF(B446&gt;=$T$2, A446, "")</f>
        <v>44.4</v>
      </c>
      <c r="I446" s="14">
        <f t="shared" si="15"/>
        <v>1</v>
      </c>
      <c r="J446" s="14">
        <v>0.5</v>
      </c>
      <c r="K446" s="14">
        <f t="shared" si="16"/>
        <v>1</v>
      </c>
      <c r="L446" s="14">
        <v>0.4</v>
      </c>
      <c r="N446" s="4"/>
      <c r="O446" s="4"/>
      <c r="P446" s="5"/>
      <c r="Q446" s="1"/>
      <c r="R446" s="2"/>
      <c r="S446" s="2"/>
      <c r="T446" s="1"/>
      <c r="U446" s="2"/>
      <c r="V446" s="2"/>
      <c r="W446" s="2"/>
    </row>
    <row r="447" spans="1:23">
      <c r="A447" s="13">
        <v>44.5</v>
      </c>
      <c r="B447" s="13">
        <f t="shared" si="0"/>
        <v>1</v>
      </c>
      <c r="C447" s="13">
        <f>IF(B447&gt;=$S$2, A447, "")</f>
        <v>44.5</v>
      </c>
      <c r="D447" s="13">
        <f>IF(AND(B447=1, B447&gt;=$S$2), A447, "")</f>
        <v>44.5</v>
      </c>
      <c r="E447" s="13">
        <f>IF(B447&gt;=$S$2, B447, 0)</f>
        <v>1</v>
      </c>
      <c r="F447" s="13">
        <f t="shared" si="1"/>
        <v>4.4500000000000632</v>
      </c>
      <c r="G447" s="13">
        <f t="shared" si="2"/>
        <v>0.10000000000000142</v>
      </c>
      <c r="H447" s="13">
        <f>IF(B447&gt;=$T$2, A447, "")</f>
        <v>44.5</v>
      </c>
      <c r="I447" s="14">
        <f t="shared" si="15"/>
        <v>1</v>
      </c>
      <c r="J447" s="14">
        <v>0.5</v>
      </c>
      <c r="K447" s="14">
        <f t="shared" si="16"/>
        <v>1</v>
      </c>
      <c r="L447" s="14">
        <v>0.4</v>
      </c>
      <c r="N447" s="4"/>
      <c r="O447" s="4"/>
      <c r="P447" s="5"/>
      <c r="Q447" s="1"/>
      <c r="R447" s="2"/>
      <c r="S447" s="2"/>
      <c r="T447" s="1"/>
      <c r="U447" s="2"/>
      <c r="V447" s="2"/>
      <c r="W447" s="2"/>
    </row>
    <row r="448" spans="1:23">
      <c r="A448" s="13">
        <v>44.6</v>
      </c>
      <c r="B448" s="13">
        <f t="shared" si="0"/>
        <v>1</v>
      </c>
      <c r="C448" s="13">
        <f>IF(B448&gt;=$S$2, A448, "")</f>
        <v>44.6</v>
      </c>
      <c r="D448" s="13">
        <f>IF(AND(B448=1, B448&gt;=$S$2), A448, "")</f>
        <v>44.6</v>
      </c>
      <c r="E448" s="13">
        <f>IF(B448&gt;=$S$2, B448, 0)</f>
        <v>1</v>
      </c>
      <c r="F448" s="13">
        <f t="shared" si="1"/>
        <v>4.4600000000000639</v>
      </c>
      <c r="G448" s="13">
        <f t="shared" si="2"/>
        <v>0.10000000000000142</v>
      </c>
      <c r="H448" s="13">
        <f>IF(B448&gt;=$T$2, A448, "")</f>
        <v>44.6</v>
      </c>
      <c r="I448" s="14">
        <f t="shared" si="15"/>
        <v>1</v>
      </c>
      <c r="J448" s="14">
        <v>0.5</v>
      </c>
      <c r="K448" s="14">
        <f t="shared" si="16"/>
        <v>1</v>
      </c>
      <c r="L448" s="14">
        <v>0.4</v>
      </c>
      <c r="N448" s="4"/>
      <c r="O448" s="4"/>
      <c r="P448" s="5"/>
      <c r="Q448" s="1"/>
      <c r="R448" s="2"/>
      <c r="S448" s="2"/>
      <c r="T448" s="1"/>
      <c r="U448" s="2"/>
      <c r="V448" s="2"/>
      <c r="W448" s="2"/>
    </row>
    <row r="449" spans="1:23">
      <c r="A449" s="13">
        <v>44.7</v>
      </c>
      <c r="B449" s="13">
        <f t="shared" si="0"/>
        <v>1</v>
      </c>
      <c r="C449" s="13">
        <f>IF(B449&gt;=$S$2, A449, "")</f>
        <v>44.7</v>
      </c>
      <c r="D449" s="13">
        <f>IF(AND(B449=1, B449&gt;=$S$2), A449, "")</f>
        <v>44.7</v>
      </c>
      <c r="E449" s="13">
        <f>IF(B449&gt;=$S$2, B449, 0)</f>
        <v>1</v>
      </c>
      <c r="F449" s="13">
        <f t="shared" si="1"/>
        <v>4.4699999999997466</v>
      </c>
      <c r="G449" s="13">
        <f t="shared" si="2"/>
        <v>9.9999999999994316E-2</v>
      </c>
      <c r="H449" s="13">
        <f>IF(B449&gt;=$T$2, A449, "")</f>
        <v>44.7</v>
      </c>
      <c r="I449" s="14">
        <f t="shared" si="15"/>
        <v>1</v>
      </c>
      <c r="J449" s="14">
        <v>0.5</v>
      </c>
      <c r="K449" s="14">
        <f t="shared" si="16"/>
        <v>1</v>
      </c>
      <c r="L449" s="14">
        <v>0.4</v>
      </c>
      <c r="N449" s="4"/>
      <c r="O449" s="4"/>
      <c r="P449" s="5"/>
      <c r="Q449" s="1"/>
      <c r="R449" s="2"/>
      <c r="S449" s="2"/>
      <c r="T449" s="1"/>
      <c r="U449" s="2"/>
      <c r="V449" s="2"/>
      <c r="W449" s="2"/>
    </row>
    <row r="450" spans="1:23">
      <c r="A450" s="13">
        <v>44.8</v>
      </c>
      <c r="B450" s="13">
        <f t="shared" si="0"/>
        <v>1</v>
      </c>
      <c r="C450" s="13">
        <f>IF(B450&gt;=$S$2, A450, "")</f>
        <v>44.8</v>
      </c>
      <c r="D450" s="13">
        <f>IF(AND(B450=1, B450&gt;=$S$2), A450, "")</f>
        <v>44.8</v>
      </c>
      <c r="E450" s="13">
        <f>IF(B450&gt;=$S$2, B450, 0)</f>
        <v>1</v>
      </c>
      <c r="F450" s="13">
        <f t="shared" si="1"/>
        <v>4.4800000000000635</v>
      </c>
      <c r="G450" s="13">
        <f t="shared" si="2"/>
        <v>0.10000000000000142</v>
      </c>
      <c r="H450" s="13">
        <f>IF(B450&gt;=$T$2, A450, "")</f>
        <v>44.8</v>
      </c>
      <c r="I450" s="14">
        <f t="shared" si="15"/>
        <v>1</v>
      </c>
      <c r="J450" s="14">
        <v>0.5</v>
      </c>
      <c r="K450" s="14">
        <f t="shared" si="16"/>
        <v>1</v>
      </c>
      <c r="L450" s="14">
        <v>0.4</v>
      </c>
      <c r="N450" s="4"/>
      <c r="O450" s="4"/>
      <c r="P450" s="5"/>
      <c r="Q450" s="1"/>
      <c r="R450" s="2"/>
      <c r="S450" s="2"/>
      <c r="T450" s="1"/>
      <c r="U450" s="2"/>
      <c r="V450" s="2"/>
      <c r="W450" s="2"/>
    </row>
    <row r="451" spans="1:23">
      <c r="A451" s="13">
        <v>44.9</v>
      </c>
      <c r="B451" s="13">
        <f t="shared" si="0"/>
        <v>1</v>
      </c>
      <c r="C451" s="13">
        <f>IF(B451&gt;=$S$2, A451, "")</f>
        <v>44.9</v>
      </c>
      <c r="D451" s="13">
        <f>IF(AND(B451=1, B451&gt;=$S$2), A451, "")</f>
        <v>44.9</v>
      </c>
      <c r="E451" s="13">
        <f>IF(B451&gt;=$S$2, B451, 0)</f>
        <v>1</v>
      </c>
      <c r="F451" s="13">
        <f t="shared" si="1"/>
        <v>4.4900000000000633</v>
      </c>
      <c r="G451" s="13">
        <f t="shared" si="2"/>
        <v>0.10000000000000142</v>
      </c>
      <c r="H451" s="13">
        <f>IF(B451&gt;=$T$2, A451, "")</f>
        <v>44.9</v>
      </c>
      <c r="I451" s="14">
        <f t="shared" ref="I451:I514" si="17">IF($B451&gt;=0.5, $B451, #N/A)</f>
        <v>1</v>
      </c>
      <c r="J451" s="14">
        <v>0.5</v>
      </c>
      <c r="K451" s="14">
        <f t="shared" ref="K451:K514" si="18">IF($B451&gt;=0.4, $B451, #N/A)</f>
        <v>1</v>
      </c>
      <c r="L451" s="14">
        <v>0.4</v>
      </c>
      <c r="N451" s="4"/>
      <c r="O451" s="4"/>
      <c r="P451" s="5"/>
      <c r="Q451" s="1"/>
      <c r="R451" s="2"/>
      <c r="S451" s="2"/>
      <c r="T451" s="1"/>
      <c r="U451" s="2"/>
      <c r="V451" s="2"/>
      <c r="W451" s="2"/>
    </row>
    <row r="452" spans="1:23">
      <c r="A452" s="13">
        <v>45</v>
      </c>
      <c r="B452" s="13">
        <f t="shared" si="0"/>
        <v>1</v>
      </c>
      <c r="C452" s="13">
        <f>IF(B452&gt;=$S$2, A452, "")</f>
        <v>45</v>
      </c>
      <c r="D452" s="13">
        <f>IF(AND(B452=1, B452&gt;=$S$2), A452, "")</f>
        <v>45</v>
      </c>
      <c r="E452" s="13">
        <f>IF(B452&gt;=$S$2, B452, 0)</f>
        <v>1</v>
      </c>
      <c r="F452" s="13">
        <f t="shared" si="1"/>
        <v>4.5000000000000639</v>
      </c>
      <c r="G452" s="13">
        <f t="shared" si="2"/>
        <v>0.10000000000000142</v>
      </c>
      <c r="H452" s="13">
        <f>IF(B452&gt;=$T$2, A452, "")</f>
        <v>45</v>
      </c>
      <c r="I452" s="14">
        <f t="shared" si="17"/>
        <v>1</v>
      </c>
      <c r="J452" s="14">
        <v>0.5</v>
      </c>
      <c r="K452" s="14">
        <f t="shared" si="18"/>
        <v>1</v>
      </c>
      <c r="L452" s="14">
        <v>0.4</v>
      </c>
      <c r="N452" s="4"/>
      <c r="O452" s="4"/>
      <c r="P452" s="5"/>
      <c r="Q452" s="1"/>
      <c r="R452" s="2"/>
      <c r="S452" s="2"/>
      <c r="T452" s="1"/>
      <c r="U452" s="2"/>
      <c r="V452" s="2"/>
      <c r="W452" s="2"/>
    </row>
    <row r="453" spans="1:23">
      <c r="A453" s="13">
        <v>45.1</v>
      </c>
      <c r="B453" s="13">
        <f t="shared" si="0"/>
        <v>1</v>
      </c>
      <c r="C453" s="13">
        <f>IF(B453&gt;=$S$2, A453, "")</f>
        <v>45.1</v>
      </c>
      <c r="D453" s="13">
        <f>IF(AND(B453=1, B453&gt;=$S$2), A453, "")</f>
        <v>45.1</v>
      </c>
      <c r="E453" s="13">
        <f>IF(B453&gt;=$S$2, B453, 0)</f>
        <v>1</v>
      </c>
      <c r="F453" s="13">
        <f t="shared" si="1"/>
        <v>4.5100000000000646</v>
      </c>
      <c r="G453" s="13">
        <f t="shared" si="2"/>
        <v>0.10000000000000142</v>
      </c>
      <c r="H453" s="13">
        <f>IF(B453&gt;=$T$2, A453, "")</f>
        <v>45.1</v>
      </c>
      <c r="I453" s="14">
        <f t="shared" si="17"/>
        <v>1</v>
      </c>
      <c r="J453" s="14">
        <v>0.5</v>
      </c>
      <c r="K453" s="14">
        <f t="shared" si="18"/>
        <v>1</v>
      </c>
      <c r="L453" s="14">
        <v>0.4</v>
      </c>
      <c r="N453" s="4"/>
      <c r="O453" s="4"/>
      <c r="P453" s="5"/>
      <c r="Q453" s="1"/>
      <c r="R453" s="2"/>
      <c r="S453" s="2"/>
      <c r="T453" s="1"/>
      <c r="U453" s="2"/>
      <c r="V453" s="2"/>
      <c r="W453" s="2"/>
    </row>
    <row r="454" spans="1:23">
      <c r="A454" s="13">
        <v>45.2</v>
      </c>
      <c r="B454" s="13">
        <f t="shared" si="0"/>
        <v>1</v>
      </c>
      <c r="C454" s="13">
        <f>IF(B454&gt;=$S$2, A454, "")</f>
        <v>45.2</v>
      </c>
      <c r="D454" s="13">
        <f>IF(AND(B454=1, B454&gt;=$S$2), A454, "")</f>
        <v>45.2</v>
      </c>
      <c r="E454" s="13">
        <f>IF(B454&gt;=$S$2, B454, 0)</f>
        <v>1</v>
      </c>
      <c r="F454" s="13">
        <f t="shared" si="1"/>
        <v>4.5199999999997438</v>
      </c>
      <c r="G454" s="13">
        <f t="shared" si="2"/>
        <v>9.9999999999994316E-2</v>
      </c>
      <c r="H454" s="13">
        <f>IF(B454&gt;=$T$2, A454, "")</f>
        <v>45.2</v>
      </c>
      <c r="I454" s="14">
        <f t="shared" si="17"/>
        <v>1</v>
      </c>
      <c r="J454" s="14">
        <v>0.5</v>
      </c>
      <c r="K454" s="14">
        <f t="shared" si="18"/>
        <v>1</v>
      </c>
      <c r="L454" s="14">
        <v>0.4</v>
      </c>
      <c r="N454" s="4"/>
      <c r="O454" s="4"/>
      <c r="P454" s="5"/>
      <c r="Q454" s="1"/>
      <c r="R454" s="2"/>
      <c r="S454" s="2"/>
      <c r="T454" s="1"/>
      <c r="U454" s="2"/>
      <c r="V454" s="2"/>
      <c r="W454" s="2"/>
    </row>
    <row r="455" spans="1:23">
      <c r="A455" s="13">
        <v>45.3</v>
      </c>
      <c r="B455" s="13">
        <f t="shared" si="0"/>
        <v>1</v>
      </c>
      <c r="C455" s="13">
        <f>IF(B455&gt;=$S$2, A455, "")</f>
        <v>45.3</v>
      </c>
      <c r="D455" s="13">
        <f>IF(AND(B455=1, B455&gt;=$S$2), A455, "")</f>
        <v>45.3</v>
      </c>
      <c r="E455" s="13">
        <f>IF(B455&gt;=$S$2, B455, 0)</f>
        <v>1</v>
      </c>
      <c r="F455" s="13">
        <f t="shared" si="1"/>
        <v>4.5300000000000642</v>
      </c>
      <c r="G455" s="13">
        <f t="shared" si="2"/>
        <v>0.10000000000000142</v>
      </c>
      <c r="H455" s="13">
        <f>IF(B455&gt;=$T$2, A455, "")</f>
        <v>45.3</v>
      </c>
      <c r="I455" s="14">
        <f t="shared" si="17"/>
        <v>1</v>
      </c>
      <c r="J455" s="14">
        <v>0.5</v>
      </c>
      <c r="K455" s="14">
        <f t="shared" si="18"/>
        <v>1</v>
      </c>
      <c r="L455" s="14">
        <v>0.4</v>
      </c>
      <c r="N455" s="4"/>
      <c r="O455" s="4"/>
      <c r="P455" s="5"/>
      <c r="Q455" s="1"/>
      <c r="R455" s="2"/>
      <c r="S455" s="2"/>
      <c r="T455" s="1"/>
      <c r="U455" s="2"/>
      <c r="V455" s="2"/>
      <c r="W455" s="2"/>
    </row>
    <row r="456" spans="1:23">
      <c r="A456" s="13">
        <v>45.4</v>
      </c>
      <c r="B456" s="13">
        <f t="shared" si="0"/>
        <v>1</v>
      </c>
      <c r="C456" s="13">
        <f>IF(B456&gt;=$S$2, A456, "")</f>
        <v>45.4</v>
      </c>
      <c r="D456" s="13">
        <f>IF(AND(B456=1, B456&gt;=$S$2), A456, "")</f>
        <v>45.4</v>
      </c>
      <c r="E456" s="13">
        <f>IF(B456&gt;=$S$2, B456, 0)</f>
        <v>1</v>
      </c>
      <c r="F456" s="13">
        <f t="shared" si="1"/>
        <v>4.540000000000064</v>
      </c>
      <c r="G456" s="13">
        <f t="shared" si="2"/>
        <v>0.10000000000000142</v>
      </c>
      <c r="H456" s="13">
        <f>IF(B456&gt;=$T$2, A456, "")</f>
        <v>45.4</v>
      </c>
      <c r="I456" s="14">
        <f t="shared" si="17"/>
        <v>1</v>
      </c>
      <c r="J456" s="14">
        <v>0.5</v>
      </c>
      <c r="K456" s="14">
        <f t="shared" si="18"/>
        <v>1</v>
      </c>
      <c r="L456" s="14">
        <v>0.4</v>
      </c>
      <c r="N456" s="4"/>
      <c r="O456" s="4"/>
      <c r="P456" s="5"/>
      <c r="Q456" s="1"/>
      <c r="R456" s="2"/>
      <c r="S456" s="2"/>
      <c r="T456" s="1"/>
      <c r="U456" s="2"/>
      <c r="V456" s="2"/>
      <c r="W456" s="2"/>
    </row>
    <row r="457" spans="1:23">
      <c r="A457" s="13">
        <v>45.5</v>
      </c>
      <c r="B457" s="13">
        <f t="shared" si="0"/>
        <v>1</v>
      </c>
      <c r="C457" s="13">
        <f>IF(B457&gt;=$S$2, A457, "")</f>
        <v>45.5</v>
      </c>
      <c r="D457" s="13">
        <f>IF(AND(B457=1, B457&gt;=$S$2), A457, "")</f>
        <v>45.5</v>
      </c>
      <c r="E457" s="13">
        <f>IF(B457&gt;=$S$2, B457, 0)</f>
        <v>1</v>
      </c>
      <c r="F457" s="13">
        <f t="shared" si="1"/>
        <v>4.5500000000000647</v>
      </c>
      <c r="G457" s="13">
        <f t="shared" si="2"/>
        <v>0.10000000000000142</v>
      </c>
      <c r="H457" s="13">
        <f>IF(B457&gt;=$T$2, A457, "")</f>
        <v>45.5</v>
      </c>
      <c r="I457" s="14">
        <f t="shared" si="17"/>
        <v>1</v>
      </c>
      <c r="J457" s="14">
        <v>0.5</v>
      </c>
      <c r="K457" s="14">
        <f t="shared" si="18"/>
        <v>1</v>
      </c>
      <c r="L457" s="14">
        <v>0.4</v>
      </c>
      <c r="N457" s="4"/>
      <c r="O457" s="4"/>
      <c r="P457" s="5"/>
      <c r="Q457" s="1"/>
      <c r="R457" s="2"/>
      <c r="S457" s="2"/>
      <c r="T457" s="1"/>
      <c r="U457" s="2"/>
      <c r="V457" s="2"/>
      <c r="W457" s="2"/>
    </row>
    <row r="458" spans="1:23">
      <c r="A458" s="13">
        <v>45.6</v>
      </c>
      <c r="B458" s="13">
        <f t="shared" si="0"/>
        <v>1</v>
      </c>
      <c r="C458" s="13">
        <f>IF(B458&gt;=$S$2, A458, "")</f>
        <v>45.6</v>
      </c>
      <c r="D458" s="13">
        <f>IF(AND(B458=1, B458&gt;=$S$2), A458, "")</f>
        <v>45.6</v>
      </c>
      <c r="E458" s="13">
        <f>IF(B458&gt;=$S$2, B458, 0)</f>
        <v>1</v>
      </c>
      <c r="F458" s="13">
        <f t="shared" si="1"/>
        <v>4.5600000000000653</v>
      </c>
      <c r="G458" s="13">
        <f t="shared" si="2"/>
        <v>0.10000000000000142</v>
      </c>
      <c r="H458" s="13">
        <f>IF(B458&gt;=$T$2, A458, "")</f>
        <v>45.6</v>
      </c>
      <c r="I458" s="14">
        <f t="shared" si="17"/>
        <v>1</v>
      </c>
      <c r="J458" s="14">
        <v>0.5</v>
      </c>
      <c r="K458" s="14">
        <f t="shared" si="18"/>
        <v>1</v>
      </c>
      <c r="L458" s="14">
        <v>0.4</v>
      </c>
      <c r="N458" s="4"/>
      <c r="O458" s="4"/>
      <c r="P458" s="5"/>
      <c r="Q458" s="1"/>
      <c r="R458" s="2"/>
      <c r="S458" s="2"/>
      <c r="T458" s="1"/>
      <c r="U458" s="2"/>
      <c r="V458" s="2"/>
      <c r="W458" s="2"/>
    </row>
    <row r="459" spans="1:23">
      <c r="A459" s="13">
        <v>45.7</v>
      </c>
      <c r="B459" s="13">
        <f t="shared" si="0"/>
        <v>1</v>
      </c>
      <c r="C459" s="13">
        <f>IF(B459&gt;=$S$2, A459, "")</f>
        <v>45.7</v>
      </c>
      <c r="D459" s="13">
        <f>IF(AND(B459=1, B459&gt;=$S$2), A459, "")</f>
        <v>45.7</v>
      </c>
      <c r="E459" s="13">
        <f>IF(B459&gt;=$S$2, B459, 0)</f>
        <v>1</v>
      </c>
      <c r="F459" s="13">
        <f t="shared" si="1"/>
        <v>4.5699999999997409</v>
      </c>
      <c r="G459" s="13">
        <f t="shared" si="2"/>
        <v>9.9999999999994316E-2</v>
      </c>
      <c r="H459" s="13">
        <f>IF(B459&gt;=$T$2, A459, "")</f>
        <v>45.7</v>
      </c>
      <c r="I459" s="14">
        <f t="shared" si="17"/>
        <v>1</v>
      </c>
      <c r="J459" s="14">
        <v>0.5</v>
      </c>
      <c r="K459" s="14">
        <f t="shared" si="18"/>
        <v>1</v>
      </c>
      <c r="L459" s="14">
        <v>0.4</v>
      </c>
      <c r="N459" s="4"/>
      <c r="O459" s="4"/>
      <c r="P459" s="5"/>
      <c r="Q459" s="1"/>
      <c r="R459" s="2"/>
      <c r="S459" s="2"/>
      <c r="T459" s="1"/>
      <c r="U459" s="2"/>
      <c r="V459" s="2"/>
      <c r="W459" s="2"/>
    </row>
    <row r="460" spans="1:23">
      <c r="A460" s="13">
        <v>45.8</v>
      </c>
      <c r="B460" s="13">
        <f t="shared" si="0"/>
        <v>1</v>
      </c>
      <c r="C460" s="13">
        <f>IF(B460&gt;=$S$2, A460, "")</f>
        <v>45.8</v>
      </c>
      <c r="D460" s="13">
        <f>IF(AND(B460=1, B460&gt;=$S$2), A460, "")</f>
        <v>45.8</v>
      </c>
      <c r="E460" s="13">
        <f>IF(B460&gt;=$S$2, B460, 0)</f>
        <v>1</v>
      </c>
      <c r="F460" s="13">
        <f t="shared" si="1"/>
        <v>4.5800000000000649</v>
      </c>
      <c r="G460" s="13">
        <f t="shared" si="2"/>
        <v>0.10000000000000142</v>
      </c>
      <c r="H460" s="13">
        <f>IF(B460&gt;=$T$2, A460, "")</f>
        <v>45.8</v>
      </c>
      <c r="I460" s="14">
        <f t="shared" si="17"/>
        <v>1</v>
      </c>
      <c r="J460" s="14">
        <v>0.5</v>
      </c>
      <c r="K460" s="14">
        <f t="shared" si="18"/>
        <v>1</v>
      </c>
      <c r="L460" s="14">
        <v>0.4</v>
      </c>
      <c r="N460" s="4"/>
      <c r="O460" s="4"/>
      <c r="P460" s="5"/>
      <c r="Q460" s="1"/>
      <c r="R460" s="2"/>
      <c r="S460" s="2"/>
      <c r="T460" s="1"/>
      <c r="U460" s="2"/>
      <c r="V460" s="2"/>
      <c r="W460" s="2"/>
    </row>
    <row r="461" spans="1:23">
      <c r="A461" s="13">
        <v>45.9</v>
      </c>
      <c r="B461" s="13">
        <f t="shared" si="0"/>
        <v>1</v>
      </c>
      <c r="C461" s="13">
        <f>IF(B461&gt;=$S$2, A461, "")</f>
        <v>45.9</v>
      </c>
      <c r="D461" s="13">
        <f>IF(AND(B461=1, B461&gt;=$S$2), A461, "")</f>
        <v>45.9</v>
      </c>
      <c r="E461" s="13">
        <f>IF(B461&gt;=$S$2, B461, 0)</f>
        <v>1</v>
      </c>
      <c r="F461" s="13">
        <f t="shared" si="1"/>
        <v>4.5900000000000647</v>
      </c>
      <c r="G461" s="13">
        <f t="shared" si="2"/>
        <v>0.10000000000000142</v>
      </c>
      <c r="H461" s="13">
        <f>IF(B461&gt;=$T$2, A461, "")</f>
        <v>45.9</v>
      </c>
      <c r="I461" s="14">
        <f t="shared" si="17"/>
        <v>1</v>
      </c>
      <c r="J461" s="14">
        <v>0.5</v>
      </c>
      <c r="K461" s="14">
        <f t="shared" si="18"/>
        <v>1</v>
      </c>
      <c r="L461" s="14">
        <v>0.4</v>
      </c>
      <c r="N461" s="4"/>
      <c r="O461" s="4"/>
      <c r="P461" s="5"/>
      <c r="Q461" s="1"/>
      <c r="R461" s="2"/>
      <c r="S461" s="2"/>
      <c r="T461" s="1"/>
      <c r="U461" s="2"/>
      <c r="V461" s="2"/>
      <c r="W461" s="2"/>
    </row>
    <row r="462" spans="1:23">
      <c r="A462" s="13">
        <v>46</v>
      </c>
      <c r="B462" s="13">
        <f t="shared" si="0"/>
        <v>1</v>
      </c>
      <c r="C462" s="13">
        <f>IF(B462&gt;=$S$2, A462, "")</f>
        <v>46</v>
      </c>
      <c r="D462" s="13">
        <f>IF(AND(B462=1, B462&gt;=$S$2), A462, "")</f>
        <v>46</v>
      </c>
      <c r="E462" s="13">
        <f>IF(B462&gt;=$S$2, B462, 0)</f>
        <v>1</v>
      </c>
      <c r="F462" s="13">
        <f t="shared" si="1"/>
        <v>4.6000000000000654</v>
      </c>
      <c r="G462" s="13">
        <f t="shared" si="2"/>
        <v>0.10000000000000142</v>
      </c>
      <c r="H462" s="13">
        <f>IF(B462&gt;=$T$2, A462, "")</f>
        <v>46</v>
      </c>
      <c r="I462" s="14">
        <f t="shared" si="17"/>
        <v>1</v>
      </c>
      <c r="J462" s="14">
        <v>0.5</v>
      </c>
      <c r="K462" s="14">
        <f t="shared" si="18"/>
        <v>1</v>
      </c>
      <c r="L462" s="14">
        <v>0.4</v>
      </c>
      <c r="N462" s="4"/>
      <c r="O462" s="4"/>
      <c r="P462" s="5"/>
      <c r="Q462" s="1"/>
      <c r="R462" s="2"/>
      <c r="S462" s="2"/>
      <c r="T462" s="1"/>
      <c r="U462" s="2"/>
      <c r="V462" s="2"/>
      <c r="W462" s="2"/>
    </row>
    <row r="463" spans="1:23">
      <c r="A463" s="13">
        <v>46.1</v>
      </c>
      <c r="B463" s="13">
        <f t="shared" si="0"/>
        <v>1</v>
      </c>
      <c r="C463" s="13">
        <f>IF(B463&gt;=$S$2, A463, "")</f>
        <v>46.1</v>
      </c>
      <c r="D463" s="13">
        <f>IF(AND(B463=1, B463&gt;=$S$2), A463, "")</f>
        <v>46.1</v>
      </c>
      <c r="E463" s="13">
        <f>IF(B463&gt;=$S$2, B463, 0)</f>
        <v>1</v>
      </c>
      <c r="F463" s="13">
        <f t="shared" si="1"/>
        <v>4.610000000000066</v>
      </c>
      <c r="G463" s="13">
        <f t="shared" si="2"/>
        <v>0.10000000000000142</v>
      </c>
      <c r="H463" s="13">
        <f>IF(B463&gt;=$T$2, A463, "")</f>
        <v>46.1</v>
      </c>
      <c r="I463" s="14">
        <f t="shared" si="17"/>
        <v>1</v>
      </c>
      <c r="J463" s="14">
        <v>0.5</v>
      </c>
      <c r="K463" s="14">
        <f t="shared" si="18"/>
        <v>1</v>
      </c>
      <c r="L463" s="14">
        <v>0.4</v>
      </c>
      <c r="N463" s="4"/>
      <c r="O463" s="4"/>
      <c r="P463" s="5"/>
      <c r="Q463" s="1"/>
      <c r="R463" s="2"/>
      <c r="S463" s="2"/>
      <c r="T463" s="1"/>
      <c r="U463" s="2"/>
      <c r="V463" s="2"/>
      <c r="W463" s="2"/>
    </row>
    <row r="464" spans="1:23">
      <c r="A464" s="13">
        <v>46.2</v>
      </c>
      <c r="B464" s="13">
        <f t="shared" si="0"/>
        <v>1</v>
      </c>
      <c r="C464" s="13">
        <f>IF(B464&gt;=$S$2, A464, "")</f>
        <v>46.2</v>
      </c>
      <c r="D464" s="13">
        <f>IF(AND(B464=1, B464&gt;=$S$2), A464, "")</f>
        <v>46.2</v>
      </c>
      <c r="E464" s="13">
        <f>IF(B464&gt;=$S$2, B464, 0)</f>
        <v>1</v>
      </c>
      <c r="F464" s="13">
        <f t="shared" si="1"/>
        <v>4.6199999999997381</v>
      </c>
      <c r="G464" s="13">
        <f t="shared" si="2"/>
        <v>9.9999999999994316E-2</v>
      </c>
      <c r="H464" s="13">
        <f>IF(B464&gt;=$T$2, A464, "")</f>
        <v>46.2</v>
      </c>
      <c r="I464" s="14">
        <f t="shared" si="17"/>
        <v>1</v>
      </c>
      <c r="J464" s="14">
        <v>0.5</v>
      </c>
      <c r="K464" s="14">
        <f t="shared" si="18"/>
        <v>1</v>
      </c>
      <c r="L464" s="14">
        <v>0.4</v>
      </c>
      <c r="N464" s="4"/>
      <c r="O464" s="4"/>
      <c r="P464" s="5"/>
      <c r="Q464" s="1"/>
      <c r="R464" s="2"/>
      <c r="S464" s="2"/>
      <c r="T464" s="1"/>
      <c r="U464" s="2"/>
      <c r="V464" s="2"/>
      <c r="W464" s="2"/>
    </row>
    <row r="465" spans="1:23">
      <c r="A465" s="13">
        <v>46.3</v>
      </c>
      <c r="B465" s="13">
        <f t="shared" si="0"/>
        <v>1</v>
      </c>
      <c r="C465" s="13">
        <f>IF(B465&gt;=$S$2, A465, "")</f>
        <v>46.3</v>
      </c>
      <c r="D465" s="13">
        <f>IF(AND(B465=1, B465&gt;=$S$2), A465, "")</f>
        <v>46.3</v>
      </c>
      <c r="E465" s="13">
        <f>IF(B465&gt;=$S$2, B465, 0)</f>
        <v>1</v>
      </c>
      <c r="F465" s="13">
        <f t="shared" si="1"/>
        <v>4.6300000000000656</v>
      </c>
      <c r="G465" s="13">
        <f t="shared" si="2"/>
        <v>0.10000000000000142</v>
      </c>
      <c r="H465" s="13">
        <f>IF(B465&gt;=$T$2, A465, "")</f>
        <v>46.3</v>
      </c>
      <c r="I465" s="14">
        <f t="shared" si="17"/>
        <v>1</v>
      </c>
      <c r="J465" s="14">
        <v>0.5</v>
      </c>
      <c r="K465" s="14">
        <f t="shared" si="18"/>
        <v>1</v>
      </c>
      <c r="L465" s="14">
        <v>0.4</v>
      </c>
      <c r="N465" s="4"/>
      <c r="O465" s="4"/>
      <c r="P465" s="5"/>
      <c r="Q465" s="1"/>
      <c r="R465" s="2"/>
      <c r="S465" s="2"/>
      <c r="T465" s="1"/>
      <c r="U465" s="2"/>
      <c r="V465" s="2"/>
      <c r="W465" s="2"/>
    </row>
    <row r="466" spans="1:23">
      <c r="A466" s="13">
        <v>46.4</v>
      </c>
      <c r="B466" s="13">
        <f t="shared" si="0"/>
        <v>1</v>
      </c>
      <c r="C466" s="13">
        <f>IF(B466&gt;=$S$2, A466, "")</f>
        <v>46.4</v>
      </c>
      <c r="D466" s="13">
        <f>IF(AND(B466=1, B466&gt;=$S$2), A466, "")</f>
        <v>46.4</v>
      </c>
      <c r="E466" s="13">
        <f>IF(B466&gt;=$S$2, B466, 0)</f>
        <v>1</v>
      </c>
      <c r="F466" s="13">
        <f t="shared" si="1"/>
        <v>4.6400000000000654</v>
      </c>
      <c r="G466" s="13">
        <f t="shared" si="2"/>
        <v>0.10000000000000142</v>
      </c>
      <c r="H466" s="13">
        <f>IF(B466&gt;=$T$2, A466, "")</f>
        <v>46.4</v>
      </c>
      <c r="I466" s="14">
        <f t="shared" si="17"/>
        <v>1</v>
      </c>
      <c r="J466" s="14">
        <v>0.5</v>
      </c>
      <c r="K466" s="14">
        <f t="shared" si="18"/>
        <v>1</v>
      </c>
      <c r="L466" s="14">
        <v>0.4</v>
      </c>
      <c r="N466" s="4"/>
      <c r="O466" s="4"/>
      <c r="P466" s="5"/>
      <c r="Q466" s="1"/>
      <c r="R466" s="2"/>
      <c r="S466" s="2"/>
      <c r="T466" s="1"/>
      <c r="U466" s="2"/>
      <c r="V466" s="2"/>
      <c r="W466" s="2"/>
    </row>
    <row r="467" spans="1:23">
      <c r="A467" s="13">
        <v>46.5</v>
      </c>
      <c r="B467" s="13">
        <f t="shared" si="0"/>
        <v>1</v>
      </c>
      <c r="C467" s="13">
        <f>IF(B467&gt;=$S$2, A467, "")</f>
        <v>46.5</v>
      </c>
      <c r="D467" s="13">
        <f>IF(AND(B467=1, B467&gt;=$S$2), A467, "")</f>
        <v>46.5</v>
      </c>
      <c r="E467" s="13">
        <f>IF(B467&gt;=$S$2, B467, 0)</f>
        <v>1</v>
      </c>
      <c r="F467" s="13">
        <f t="shared" si="1"/>
        <v>4.6500000000000661</v>
      </c>
      <c r="G467" s="13">
        <f t="shared" si="2"/>
        <v>0.10000000000000142</v>
      </c>
      <c r="H467" s="13">
        <f>IF(B467&gt;=$T$2, A467, "")</f>
        <v>46.5</v>
      </c>
      <c r="I467" s="14">
        <f t="shared" si="17"/>
        <v>1</v>
      </c>
      <c r="J467" s="14">
        <v>0.5</v>
      </c>
      <c r="K467" s="14">
        <f t="shared" si="18"/>
        <v>1</v>
      </c>
      <c r="L467" s="14">
        <v>0.4</v>
      </c>
      <c r="N467" s="4"/>
      <c r="O467" s="4"/>
      <c r="P467" s="5"/>
      <c r="Q467" s="1"/>
      <c r="R467" s="2"/>
      <c r="S467" s="2"/>
      <c r="T467" s="1"/>
      <c r="U467" s="2"/>
      <c r="V467" s="2"/>
      <c r="W467" s="2"/>
    </row>
    <row r="468" spans="1:23">
      <c r="A468" s="13">
        <v>46.6</v>
      </c>
      <c r="B468" s="13">
        <f t="shared" si="0"/>
        <v>1</v>
      </c>
      <c r="C468" s="13">
        <f>IF(B468&gt;=$S$2, A468, "")</f>
        <v>46.6</v>
      </c>
      <c r="D468" s="13">
        <f>IF(AND(B468=1, B468&gt;=$S$2), A468, "")</f>
        <v>46.6</v>
      </c>
      <c r="E468" s="13">
        <f>IF(B468&gt;=$S$2, B468, 0)</f>
        <v>1</v>
      </c>
      <c r="F468" s="13">
        <f t="shared" si="1"/>
        <v>4.6600000000000668</v>
      </c>
      <c r="G468" s="13">
        <f t="shared" si="2"/>
        <v>0.10000000000000142</v>
      </c>
      <c r="H468" s="13">
        <f>IF(B468&gt;=$T$2, A468, "")</f>
        <v>46.6</v>
      </c>
      <c r="I468" s="14">
        <f t="shared" si="17"/>
        <v>1</v>
      </c>
      <c r="J468" s="14">
        <v>0.5</v>
      </c>
      <c r="K468" s="14">
        <f t="shared" si="18"/>
        <v>1</v>
      </c>
      <c r="L468" s="14">
        <v>0.4</v>
      </c>
      <c r="N468" s="4"/>
      <c r="O468" s="4"/>
      <c r="P468" s="5"/>
      <c r="Q468" s="1"/>
      <c r="R468" s="2"/>
      <c r="S468" s="2"/>
      <c r="T468" s="1"/>
      <c r="U468" s="2"/>
      <c r="V468" s="2"/>
      <c r="W468" s="2"/>
    </row>
    <row r="469" spans="1:23">
      <c r="A469" s="13">
        <v>46.7</v>
      </c>
      <c r="B469" s="13">
        <f t="shared" si="0"/>
        <v>1</v>
      </c>
      <c r="C469" s="13">
        <f>IF(B469&gt;=$S$2, A469, "")</f>
        <v>46.7</v>
      </c>
      <c r="D469" s="13">
        <f>IF(AND(B469=1, B469&gt;=$S$2), A469, "")</f>
        <v>46.7</v>
      </c>
      <c r="E469" s="13">
        <f>IF(B469&gt;=$S$2, B469, 0)</f>
        <v>1</v>
      </c>
      <c r="F469" s="13">
        <f t="shared" si="1"/>
        <v>4.6699999999997353</v>
      </c>
      <c r="G469" s="13">
        <f t="shared" si="2"/>
        <v>9.9999999999994316E-2</v>
      </c>
      <c r="H469" s="13">
        <f>IF(B469&gt;=$T$2, A469, "")</f>
        <v>46.7</v>
      </c>
      <c r="I469" s="14">
        <f t="shared" si="17"/>
        <v>1</v>
      </c>
      <c r="J469" s="14">
        <v>0.5</v>
      </c>
      <c r="K469" s="14">
        <f t="shared" si="18"/>
        <v>1</v>
      </c>
      <c r="L469" s="14">
        <v>0.4</v>
      </c>
      <c r="N469" s="4"/>
      <c r="O469" s="4"/>
      <c r="P469" s="5"/>
      <c r="Q469" s="1"/>
      <c r="R469" s="2"/>
      <c r="S469" s="2"/>
      <c r="T469" s="1"/>
      <c r="U469" s="2"/>
      <c r="V469" s="2"/>
      <c r="W469" s="2"/>
    </row>
    <row r="470" spans="1:23">
      <c r="A470" s="13">
        <v>46.8</v>
      </c>
      <c r="B470" s="13">
        <f t="shared" si="0"/>
        <v>1</v>
      </c>
      <c r="C470" s="13">
        <f>IF(B470&gt;=$S$2, A470, "")</f>
        <v>46.8</v>
      </c>
      <c r="D470" s="13">
        <f>IF(AND(B470=1, B470&gt;=$S$2), A470, "")</f>
        <v>46.8</v>
      </c>
      <c r="E470" s="13">
        <f>IF(B470&gt;=$S$2, B470, 0)</f>
        <v>1</v>
      </c>
      <c r="F470" s="13">
        <f t="shared" si="1"/>
        <v>4.6800000000000663</v>
      </c>
      <c r="G470" s="13">
        <f t="shared" si="2"/>
        <v>0.10000000000000142</v>
      </c>
      <c r="H470" s="13">
        <f>IF(B470&gt;=$T$2, A470, "")</f>
        <v>46.8</v>
      </c>
      <c r="I470" s="14">
        <f t="shared" si="17"/>
        <v>1</v>
      </c>
      <c r="J470" s="14">
        <v>0.5</v>
      </c>
      <c r="K470" s="14">
        <f t="shared" si="18"/>
        <v>1</v>
      </c>
      <c r="L470" s="14">
        <v>0.4</v>
      </c>
      <c r="N470" s="4"/>
      <c r="O470" s="4"/>
      <c r="P470" s="5"/>
      <c r="Q470" s="1"/>
      <c r="R470" s="2"/>
      <c r="S470" s="2"/>
      <c r="T470" s="1"/>
      <c r="U470" s="2"/>
      <c r="V470" s="2"/>
      <c r="W470" s="2"/>
    </row>
    <row r="471" spans="1:23">
      <c r="A471" s="13">
        <v>46.9</v>
      </c>
      <c r="B471" s="13">
        <f t="shared" si="0"/>
        <v>1</v>
      </c>
      <c r="C471" s="13">
        <f>IF(B471&gt;=$S$2, A471, "")</f>
        <v>46.9</v>
      </c>
      <c r="D471" s="13">
        <f>IF(AND(B471=1, B471&gt;=$S$2), A471, "")</f>
        <v>46.9</v>
      </c>
      <c r="E471" s="13">
        <f>IF(B471&gt;=$S$2, B471, 0)</f>
        <v>1</v>
      </c>
      <c r="F471" s="13">
        <f t="shared" si="1"/>
        <v>4.6900000000000661</v>
      </c>
      <c r="G471" s="13">
        <f t="shared" si="2"/>
        <v>0.10000000000000142</v>
      </c>
      <c r="H471" s="13">
        <f>IF(B471&gt;=$T$2, A471, "")</f>
        <v>46.9</v>
      </c>
      <c r="I471" s="14">
        <f t="shared" si="17"/>
        <v>1</v>
      </c>
      <c r="J471" s="14">
        <v>0.5</v>
      </c>
      <c r="K471" s="14">
        <f t="shared" si="18"/>
        <v>1</v>
      </c>
      <c r="L471" s="14">
        <v>0.4</v>
      </c>
      <c r="N471" s="4"/>
      <c r="O471" s="4"/>
      <c r="P471" s="5"/>
      <c r="Q471" s="1"/>
      <c r="R471" s="2"/>
      <c r="S471" s="2"/>
      <c r="T471" s="1"/>
      <c r="U471" s="2"/>
      <c r="V471" s="2"/>
      <c r="W471" s="2"/>
    </row>
    <row r="472" spans="1:23">
      <c r="A472" s="13">
        <v>47</v>
      </c>
      <c r="B472" s="13">
        <f t="shared" si="0"/>
        <v>1</v>
      </c>
      <c r="C472" s="13">
        <f>IF(B472&gt;=$S$2, A472, "")</f>
        <v>47</v>
      </c>
      <c r="D472" s="13">
        <f>IF(AND(B472=1, B472&gt;=$S$2), A472, "")</f>
        <v>47</v>
      </c>
      <c r="E472" s="13">
        <f>IF(B472&gt;=$S$2, B472, 0)</f>
        <v>1</v>
      </c>
      <c r="F472" s="13">
        <f t="shared" si="1"/>
        <v>4.7000000000000668</v>
      </c>
      <c r="G472" s="13">
        <f t="shared" si="2"/>
        <v>0.10000000000000142</v>
      </c>
      <c r="H472" s="13">
        <f>IF(B472&gt;=$T$2, A472, "")</f>
        <v>47</v>
      </c>
      <c r="I472" s="14">
        <f t="shared" si="17"/>
        <v>1</v>
      </c>
      <c r="J472" s="14">
        <v>0.5</v>
      </c>
      <c r="K472" s="14">
        <f t="shared" si="18"/>
        <v>1</v>
      </c>
      <c r="L472" s="14">
        <v>0.4</v>
      </c>
      <c r="N472" s="4"/>
      <c r="O472" s="4"/>
      <c r="P472" s="5"/>
      <c r="Q472" s="1"/>
      <c r="R472" s="2"/>
      <c r="S472" s="2"/>
      <c r="T472" s="1"/>
      <c r="U472" s="2"/>
      <c r="V472" s="2"/>
      <c r="W472" s="2"/>
    </row>
    <row r="473" spans="1:23">
      <c r="A473" s="13">
        <v>47.1</v>
      </c>
      <c r="B473" s="13">
        <f t="shared" si="0"/>
        <v>1</v>
      </c>
      <c r="C473" s="13">
        <f>IF(B473&gt;=$S$2, A473, "")</f>
        <v>47.1</v>
      </c>
      <c r="D473" s="13">
        <f>IF(AND(B473=1, B473&gt;=$S$2), A473, "")</f>
        <v>47.1</v>
      </c>
      <c r="E473" s="13">
        <f>IF(B473&gt;=$S$2, B473, 0)</f>
        <v>1</v>
      </c>
      <c r="F473" s="13">
        <f t="shared" si="1"/>
        <v>4.7100000000000675</v>
      </c>
      <c r="G473" s="13">
        <f t="shared" si="2"/>
        <v>0.10000000000000142</v>
      </c>
      <c r="H473" s="13">
        <f>IF(B473&gt;=$T$2, A473, "")</f>
        <v>47.1</v>
      </c>
      <c r="I473" s="14">
        <f t="shared" si="17"/>
        <v>1</v>
      </c>
      <c r="J473" s="14">
        <v>0.5</v>
      </c>
      <c r="K473" s="14">
        <f t="shared" si="18"/>
        <v>1</v>
      </c>
      <c r="L473" s="14">
        <v>0.4</v>
      </c>
      <c r="N473" s="4"/>
      <c r="O473" s="4"/>
      <c r="P473" s="5"/>
      <c r="Q473" s="1"/>
      <c r="R473" s="2"/>
      <c r="S473" s="2"/>
      <c r="T473" s="1"/>
      <c r="U473" s="2"/>
      <c r="V473" s="2"/>
      <c r="W473" s="2"/>
    </row>
    <row r="474" spans="1:23">
      <c r="A474" s="13">
        <v>47.2</v>
      </c>
      <c r="B474" s="13">
        <f t="shared" si="0"/>
        <v>1</v>
      </c>
      <c r="C474" s="13">
        <f>IF(B474&gt;=$S$2, A474, "")</f>
        <v>47.2</v>
      </c>
      <c r="D474" s="13">
        <f>IF(AND(B474=1, B474&gt;=$S$2), A474, "")</f>
        <v>47.2</v>
      </c>
      <c r="E474" s="13">
        <f>IF(B474&gt;=$S$2, B474, 0)</f>
        <v>1</v>
      </c>
      <c r="F474" s="13">
        <f t="shared" si="1"/>
        <v>4.7199999999997324</v>
      </c>
      <c r="G474" s="13">
        <f t="shared" si="2"/>
        <v>9.9999999999994316E-2</v>
      </c>
      <c r="H474" s="13">
        <f>IF(B474&gt;=$T$2, A474, "")</f>
        <v>47.2</v>
      </c>
      <c r="I474" s="14">
        <f t="shared" si="17"/>
        <v>1</v>
      </c>
      <c r="J474" s="14">
        <v>0.5</v>
      </c>
      <c r="K474" s="14">
        <f t="shared" si="18"/>
        <v>1</v>
      </c>
      <c r="L474" s="14">
        <v>0.4</v>
      </c>
      <c r="N474" s="4"/>
      <c r="O474" s="4"/>
      <c r="P474" s="5"/>
      <c r="Q474" s="1"/>
      <c r="R474" s="2"/>
      <c r="S474" s="2"/>
      <c r="T474" s="1"/>
      <c r="U474" s="2"/>
      <c r="V474" s="2"/>
      <c r="W474" s="2"/>
    </row>
    <row r="475" spans="1:23">
      <c r="A475" s="13">
        <v>47.3</v>
      </c>
      <c r="B475" s="13">
        <f t="shared" si="0"/>
        <v>1</v>
      </c>
      <c r="C475" s="13">
        <f>IF(B475&gt;=$S$2, A475, "")</f>
        <v>47.3</v>
      </c>
      <c r="D475" s="13">
        <f>IF(AND(B475=1, B475&gt;=$S$2), A475, "")</f>
        <v>47.3</v>
      </c>
      <c r="E475" s="13">
        <f>IF(B475&gt;=$S$2, B475, 0)</f>
        <v>1</v>
      </c>
      <c r="F475" s="13">
        <f t="shared" si="1"/>
        <v>4.730000000000067</v>
      </c>
      <c r="G475" s="13">
        <f t="shared" si="2"/>
        <v>0.10000000000000142</v>
      </c>
      <c r="H475" s="13">
        <f>IF(B475&gt;=$T$2, A475, "")</f>
        <v>47.3</v>
      </c>
      <c r="I475" s="14">
        <f t="shared" si="17"/>
        <v>1</v>
      </c>
      <c r="J475" s="14">
        <v>0.5</v>
      </c>
      <c r="K475" s="14">
        <f t="shared" si="18"/>
        <v>1</v>
      </c>
      <c r="L475" s="14">
        <v>0.4</v>
      </c>
      <c r="N475" s="4"/>
      <c r="O475" s="4"/>
      <c r="P475" s="5"/>
      <c r="Q475" s="1"/>
      <c r="R475" s="2"/>
      <c r="S475" s="2"/>
      <c r="T475" s="1"/>
      <c r="U475" s="2"/>
      <c r="V475" s="2"/>
      <c r="W475" s="2"/>
    </row>
    <row r="476" spans="1:23">
      <c r="A476" s="13">
        <v>47.4</v>
      </c>
      <c r="B476" s="13">
        <f t="shared" si="0"/>
        <v>1</v>
      </c>
      <c r="C476" s="13">
        <f>IF(B476&gt;=$S$2, A476, "")</f>
        <v>47.4</v>
      </c>
      <c r="D476" s="13">
        <f>IF(AND(B476=1, B476&gt;=$S$2), A476, "")</f>
        <v>47.4</v>
      </c>
      <c r="E476" s="13">
        <f>IF(B476&gt;=$S$2, B476, 0)</f>
        <v>1</v>
      </c>
      <c r="F476" s="13">
        <f t="shared" si="1"/>
        <v>4.7400000000000668</v>
      </c>
      <c r="G476" s="13">
        <f t="shared" si="2"/>
        <v>0.10000000000000142</v>
      </c>
      <c r="H476" s="13">
        <f>IF(B476&gt;=$T$2, A476, "")</f>
        <v>47.4</v>
      </c>
      <c r="I476" s="14">
        <f t="shared" si="17"/>
        <v>1</v>
      </c>
      <c r="J476" s="14">
        <v>0.5</v>
      </c>
      <c r="K476" s="14">
        <f t="shared" si="18"/>
        <v>1</v>
      </c>
      <c r="L476" s="14">
        <v>0.4</v>
      </c>
      <c r="N476" s="4"/>
      <c r="O476" s="4"/>
      <c r="P476" s="5"/>
      <c r="Q476" s="1"/>
      <c r="R476" s="2"/>
      <c r="S476" s="2"/>
      <c r="T476" s="1"/>
      <c r="U476" s="2"/>
      <c r="V476" s="2"/>
      <c r="W476" s="2"/>
    </row>
    <row r="477" spans="1:23">
      <c r="A477" s="13">
        <v>47.5</v>
      </c>
      <c r="B477" s="13">
        <f t="shared" si="0"/>
        <v>1</v>
      </c>
      <c r="C477" s="13">
        <f>IF(B477&gt;=$S$2, A477, "")</f>
        <v>47.5</v>
      </c>
      <c r="D477" s="13">
        <f>IF(AND(B477=1, B477&gt;=$S$2), A477, "")</f>
        <v>47.5</v>
      </c>
      <c r="E477" s="13">
        <f>IF(B477&gt;=$S$2, B477, 0)</f>
        <v>1</v>
      </c>
      <c r="F477" s="13">
        <f t="shared" si="1"/>
        <v>4.7500000000000675</v>
      </c>
      <c r="G477" s="13">
        <f t="shared" si="2"/>
        <v>0.10000000000000142</v>
      </c>
      <c r="H477" s="13">
        <f>IF(B477&gt;=$T$2, A477, "")</f>
        <v>47.5</v>
      </c>
      <c r="I477" s="14">
        <f t="shared" si="17"/>
        <v>1</v>
      </c>
      <c r="J477" s="14">
        <v>0.5</v>
      </c>
      <c r="K477" s="14">
        <f t="shared" si="18"/>
        <v>1</v>
      </c>
      <c r="L477" s="14">
        <v>0.4</v>
      </c>
      <c r="N477" s="4"/>
      <c r="O477" s="4"/>
      <c r="P477" s="5"/>
      <c r="Q477" s="1"/>
      <c r="R477" s="2"/>
      <c r="S477" s="2"/>
      <c r="T477" s="1"/>
      <c r="U477" s="2"/>
      <c r="V477" s="2"/>
      <c r="W477" s="2"/>
    </row>
    <row r="478" spans="1:23">
      <c r="A478" s="13">
        <v>47.6</v>
      </c>
      <c r="B478" s="13">
        <f t="shared" si="0"/>
        <v>1</v>
      </c>
      <c r="C478" s="13">
        <f>IF(B478&gt;=$S$2, A478, "")</f>
        <v>47.6</v>
      </c>
      <c r="D478" s="13">
        <f>IF(AND(B478=1, B478&gt;=$S$2), A478, "")</f>
        <v>47.6</v>
      </c>
      <c r="E478" s="13">
        <f>IF(B478&gt;=$S$2, B478, 0)</f>
        <v>1</v>
      </c>
      <c r="F478" s="13">
        <f t="shared" si="1"/>
        <v>4.7600000000000682</v>
      </c>
      <c r="G478" s="13">
        <f t="shared" si="2"/>
        <v>0.10000000000000142</v>
      </c>
      <c r="H478" s="13">
        <f>IF(B478&gt;=$T$2, A478, "")</f>
        <v>47.6</v>
      </c>
      <c r="I478" s="14">
        <f t="shared" si="17"/>
        <v>1</v>
      </c>
      <c r="J478" s="14">
        <v>0.5</v>
      </c>
      <c r="K478" s="14">
        <f t="shared" si="18"/>
        <v>1</v>
      </c>
      <c r="L478" s="14">
        <v>0.4</v>
      </c>
      <c r="N478" s="4"/>
      <c r="O478" s="4"/>
      <c r="P478" s="5"/>
      <c r="Q478" s="1"/>
      <c r="R478" s="2"/>
      <c r="S478" s="2"/>
      <c r="T478" s="1"/>
      <c r="U478" s="2"/>
      <c r="V478" s="2"/>
      <c r="W478" s="2"/>
    </row>
    <row r="479" spans="1:23">
      <c r="A479" s="13">
        <v>47.7</v>
      </c>
      <c r="B479" s="13">
        <f t="shared" si="0"/>
        <v>1</v>
      </c>
      <c r="C479" s="13">
        <f>IF(B479&gt;=$S$2, A479, "")</f>
        <v>47.7</v>
      </c>
      <c r="D479" s="13">
        <f>IF(AND(B479=1, B479&gt;=$S$2), A479, "")</f>
        <v>47.7</v>
      </c>
      <c r="E479" s="13">
        <f>IF(B479&gt;=$S$2, B479, 0)</f>
        <v>1</v>
      </c>
      <c r="F479" s="13">
        <f t="shared" si="1"/>
        <v>4.7699999999997296</v>
      </c>
      <c r="G479" s="13">
        <f t="shared" si="2"/>
        <v>9.9999999999994316E-2</v>
      </c>
      <c r="H479" s="13">
        <f>IF(B479&gt;=$T$2, A479, "")</f>
        <v>47.7</v>
      </c>
      <c r="I479" s="14">
        <f t="shared" si="17"/>
        <v>1</v>
      </c>
      <c r="J479" s="14">
        <v>0.5</v>
      </c>
      <c r="K479" s="14">
        <f t="shared" si="18"/>
        <v>1</v>
      </c>
      <c r="L479" s="14">
        <v>0.4</v>
      </c>
      <c r="N479" s="4"/>
      <c r="O479" s="4"/>
      <c r="P479" s="5"/>
      <c r="Q479" s="1"/>
      <c r="R479" s="2"/>
      <c r="S479" s="2"/>
      <c r="T479" s="1"/>
      <c r="U479" s="2"/>
      <c r="V479" s="2"/>
      <c r="W479" s="2"/>
    </row>
    <row r="480" spans="1:23">
      <c r="A480" s="13">
        <v>47.8</v>
      </c>
      <c r="B480" s="13">
        <f t="shared" si="0"/>
        <v>1</v>
      </c>
      <c r="C480" s="13">
        <f>IF(B480&gt;=$S$2, A480, "")</f>
        <v>47.8</v>
      </c>
      <c r="D480" s="13">
        <f>IF(AND(B480=1, B480&gt;=$S$2), A480, "")</f>
        <v>47.8</v>
      </c>
      <c r="E480" s="13">
        <f>IF(B480&gt;=$S$2, B480, 0)</f>
        <v>1</v>
      </c>
      <c r="F480" s="13">
        <f t="shared" si="1"/>
        <v>4.7800000000000678</v>
      </c>
      <c r="G480" s="13">
        <f t="shared" si="2"/>
        <v>0.10000000000000142</v>
      </c>
      <c r="H480" s="13">
        <f>IF(B480&gt;=$T$2, A480, "")</f>
        <v>47.8</v>
      </c>
      <c r="I480" s="14">
        <f t="shared" si="17"/>
        <v>1</v>
      </c>
      <c r="J480" s="14">
        <v>0.5</v>
      </c>
      <c r="K480" s="14">
        <f t="shared" si="18"/>
        <v>1</v>
      </c>
      <c r="L480" s="14">
        <v>0.4</v>
      </c>
      <c r="N480" s="4"/>
      <c r="O480" s="4"/>
      <c r="P480" s="5"/>
      <c r="Q480" s="1"/>
      <c r="R480" s="2"/>
      <c r="S480" s="2"/>
      <c r="T480" s="1"/>
      <c r="U480" s="2"/>
      <c r="V480" s="2"/>
      <c r="W480" s="2"/>
    </row>
    <row r="481" spans="1:23">
      <c r="A481" s="13">
        <v>47.9</v>
      </c>
      <c r="B481" s="13">
        <f t="shared" si="0"/>
        <v>1</v>
      </c>
      <c r="C481" s="13">
        <f>IF(B481&gt;=$S$2, A481, "")</f>
        <v>47.9</v>
      </c>
      <c r="D481" s="13">
        <f>IF(AND(B481=1, B481&gt;=$S$2), A481, "")</f>
        <v>47.9</v>
      </c>
      <c r="E481" s="13">
        <f>IF(B481&gt;=$S$2, B481, 0)</f>
        <v>1</v>
      </c>
      <c r="F481" s="13">
        <f t="shared" si="1"/>
        <v>4.7900000000000675</v>
      </c>
      <c r="G481" s="13">
        <f t="shared" si="2"/>
        <v>0.10000000000000142</v>
      </c>
      <c r="H481" s="13">
        <f>IF(B481&gt;=$T$2, A481, "")</f>
        <v>47.9</v>
      </c>
      <c r="I481" s="14">
        <f t="shared" si="17"/>
        <v>1</v>
      </c>
      <c r="J481" s="14">
        <v>0.5</v>
      </c>
      <c r="K481" s="14">
        <f t="shared" si="18"/>
        <v>1</v>
      </c>
      <c r="L481" s="14">
        <v>0.4</v>
      </c>
      <c r="N481" s="4"/>
      <c r="O481" s="4"/>
      <c r="P481" s="5"/>
      <c r="Q481" s="1"/>
      <c r="R481" s="2"/>
      <c r="S481" s="2"/>
      <c r="T481" s="1"/>
      <c r="U481" s="2"/>
      <c r="V481" s="2"/>
      <c r="W481" s="2"/>
    </row>
    <row r="482" spans="1:23">
      <c r="A482" s="13">
        <v>48</v>
      </c>
      <c r="B482" s="13">
        <f t="shared" si="0"/>
        <v>1</v>
      </c>
      <c r="C482" s="13">
        <f>IF(B482&gt;=$S$2, A482, "")</f>
        <v>48</v>
      </c>
      <c r="D482" s="13">
        <f>IF(AND(B482=1, B482&gt;=$S$2), A482, "")</f>
        <v>48</v>
      </c>
      <c r="E482" s="13">
        <f>IF(B482&gt;=$S$2, B482, 0)</f>
        <v>1</v>
      </c>
      <c r="F482" s="13">
        <f t="shared" si="1"/>
        <v>4.8000000000000682</v>
      </c>
      <c r="G482" s="13">
        <f t="shared" si="2"/>
        <v>0.10000000000000142</v>
      </c>
      <c r="H482" s="13">
        <f>IF(B482&gt;=$T$2, A482, "")</f>
        <v>48</v>
      </c>
      <c r="I482" s="14">
        <f t="shared" si="17"/>
        <v>1</v>
      </c>
      <c r="J482" s="14">
        <v>0.5</v>
      </c>
      <c r="K482" s="14">
        <f t="shared" si="18"/>
        <v>1</v>
      </c>
      <c r="L482" s="14">
        <v>0.4</v>
      </c>
      <c r="N482" s="4"/>
      <c r="O482" s="4"/>
      <c r="P482" s="5"/>
      <c r="Q482" s="1"/>
      <c r="R482" s="2"/>
      <c r="S482" s="2"/>
      <c r="T482" s="1"/>
      <c r="U482" s="2"/>
      <c r="V482" s="2"/>
      <c r="W482" s="2"/>
    </row>
    <row r="483" spans="1:23">
      <c r="A483" s="13">
        <v>48.1</v>
      </c>
      <c r="B483" s="13">
        <f t="shared" si="0"/>
        <v>1</v>
      </c>
      <c r="C483" s="13">
        <f>IF(B483&gt;=$S$2, A483, "")</f>
        <v>48.1</v>
      </c>
      <c r="D483" s="13">
        <f>IF(AND(B483=1, B483&gt;=$S$2), A483, "")</f>
        <v>48.1</v>
      </c>
      <c r="E483" s="13">
        <f>IF(B483&gt;=$S$2, B483, 0)</f>
        <v>1</v>
      </c>
      <c r="F483" s="13">
        <f t="shared" si="1"/>
        <v>4.8100000000000689</v>
      </c>
      <c r="G483" s="13">
        <f t="shared" si="2"/>
        <v>0.10000000000000142</v>
      </c>
      <c r="H483" s="13">
        <f>IF(B483&gt;=$T$2, A483, "")</f>
        <v>48.1</v>
      </c>
      <c r="I483" s="14">
        <f t="shared" si="17"/>
        <v>1</v>
      </c>
      <c r="J483" s="14">
        <v>0.5</v>
      </c>
      <c r="K483" s="14">
        <f t="shared" si="18"/>
        <v>1</v>
      </c>
      <c r="L483" s="14">
        <v>0.4</v>
      </c>
      <c r="N483" s="4"/>
      <c r="O483" s="4"/>
      <c r="P483" s="5"/>
      <c r="Q483" s="1"/>
      <c r="R483" s="2"/>
      <c r="S483" s="2"/>
      <c r="T483" s="1"/>
      <c r="U483" s="2"/>
      <c r="V483" s="2"/>
      <c r="W483" s="2"/>
    </row>
    <row r="484" spans="1:23">
      <c r="A484" s="13">
        <v>48.2</v>
      </c>
      <c r="B484" s="13">
        <f t="shared" si="0"/>
        <v>1</v>
      </c>
      <c r="C484" s="13">
        <f>IF(B484&gt;=$S$2, A484, "")</f>
        <v>48.2</v>
      </c>
      <c r="D484" s="13">
        <f>IF(AND(B484=1, B484&gt;=$S$2), A484, "")</f>
        <v>48.2</v>
      </c>
      <c r="E484" s="13">
        <f>IF(B484&gt;=$S$2, B484, 0)</f>
        <v>1</v>
      </c>
      <c r="F484" s="13">
        <f t="shared" si="1"/>
        <v>4.8199999999997267</v>
      </c>
      <c r="G484" s="13">
        <f t="shared" si="2"/>
        <v>9.9999999999994316E-2</v>
      </c>
      <c r="H484" s="13">
        <f>IF(B484&gt;=$T$2, A484, "")</f>
        <v>48.2</v>
      </c>
      <c r="I484" s="14">
        <f t="shared" si="17"/>
        <v>1</v>
      </c>
      <c r="J484" s="14">
        <v>0.5</v>
      </c>
      <c r="K484" s="14">
        <f t="shared" si="18"/>
        <v>1</v>
      </c>
      <c r="L484" s="14">
        <v>0.4</v>
      </c>
      <c r="N484" s="4"/>
      <c r="O484" s="4"/>
      <c r="P484" s="5"/>
      <c r="Q484" s="1"/>
      <c r="R484" s="2"/>
      <c r="S484" s="2"/>
      <c r="T484" s="1"/>
      <c r="U484" s="2"/>
      <c r="V484" s="2"/>
      <c r="W484" s="2"/>
    </row>
    <row r="485" spans="1:23">
      <c r="A485" s="13">
        <v>48.3</v>
      </c>
      <c r="B485" s="13">
        <f t="shared" si="0"/>
        <v>1</v>
      </c>
      <c r="C485" s="13">
        <f>IF(B485&gt;=$S$2, A485, "")</f>
        <v>48.3</v>
      </c>
      <c r="D485" s="13">
        <f>IF(AND(B485=1, B485&gt;=$S$2), A485, "")</f>
        <v>48.3</v>
      </c>
      <c r="E485" s="13">
        <f>IF(B485&gt;=$S$2, B485, 0)</f>
        <v>1</v>
      </c>
      <c r="F485" s="13">
        <f t="shared" si="1"/>
        <v>4.8300000000000685</v>
      </c>
      <c r="G485" s="13">
        <f t="shared" si="2"/>
        <v>0.10000000000000142</v>
      </c>
      <c r="H485" s="13">
        <f>IF(B485&gt;=$T$2, A485, "")</f>
        <v>48.3</v>
      </c>
      <c r="I485" s="14">
        <f t="shared" si="17"/>
        <v>1</v>
      </c>
      <c r="J485" s="14">
        <v>0.5</v>
      </c>
      <c r="K485" s="14">
        <f t="shared" si="18"/>
        <v>1</v>
      </c>
      <c r="L485" s="14">
        <v>0.4</v>
      </c>
      <c r="N485" s="4"/>
      <c r="O485" s="4"/>
      <c r="P485" s="5"/>
      <c r="Q485" s="1"/>
      <c r="R485" s="2"/>
      <c r="S485" s="2"/>
      <c r="T485" s="1"/>
      <c r="U485" s="2"/>
      <c r="V485" s="2"/>
      <c r="W485" s="2"/>
    </row>
    <row r="486" spans="1:23">
      <c r="A486" s="13">
        <v>48.4</v>
      </c>
      <c r="B486" s="13">
        <f t="shared" si="0"/>
        <v>1</v>
      </c>
      <c r="C486" s="13">
        <f>IF(B486&gt;=$S$2, A486, "")</f>
        <v>48.4</v>
      </c>
      <c r="D486" s="13">
        <f>IF(AND(B486=1, B486&gt;=$S$2), A486, "")</f>
        <v>48.4</v>
      </c>
      <c r="E486" s="13">
        <f>IF(B486&gt;=$S$2, B486, 0)</f>
        <v>1</v>
      </c>
      <c r="F486" s="13">
        <f t="shared" si="1"/>
        <v>4.8400000000000682</v>
      </c>
      <c r="G486" s="13">
        <f t="shared" si="2"/>
        <v>0.10000000000000142</v>
      </c>
      <c r="H486" s="13">
        <f>IF(B486&gt;=$T$2, A486, "")</f>
        <v>48.4</v>
      </c>
      <c r="I486" s="14">
        <f t="shared" si="17"/>
        <v>1</v>
      </c>
      <c r="J486" s="14">
        <v>0.5</v>
      </c>
      <c r="K486" s="14">
        <f t="shared" si="18"/>
        <v>1</v>
      </c>
      <c r="L486" s="14">
        <v>0.4</v>
      </c>
      <c r="N486" s="4"/>
      <c r="O486" s="4"/>
      <c r="P486" s="5"/>
      <c r="Q486" s="1"/>
      <c r="R486" s="2"/>
      <c r="S486" s="2"/>
      <c r="T486" s="1"/>
      <c r="U486" s="2"/>
      <c r="V486" s="2"/>
      <c r="W486" s="2"/>
    </row>
    <row r="487" spans="1:23">
      <c r="A487" s="13">
        <v>48.5</v>
      </c>
      <c r="B487" s="13">
        <f t="shared" si="0"/>
        <v>1</v>
      </c>
      <c r="C487" s="13">
        <f>IF(B487&gt;=$S$2, A487, "")</f>
        <v>48.5</v>
      </c>
      <c r="D487" s="13">
        <f>IF(AND(B487=1, B487&gt;=$S$2), A487, "")</f>
        <v>48.5</v>
      </c>
      <c r="E487" s="13">
        <f>IF(B487&gt;=$S$2, B487, 0)</f>
        <v>1</v>
      </c>
      <c r="F487" s="13">
        <f t="shared" si="1"/>
        <v>4.8500000000000689</v>
      </c>
      <c r="G487" s="13">
        <f t="shared" si="2"/>
        <v>0.10000000000000142</v>
      </c>
      <c r="H487" s="13">
        <f>IF(B487&gt;=$T$2, A487, "")</f>
        <v>48.5</v>
      </c>
      <c r="I487" s="14">
        <f t="shared" si="17"/>
        <v>1</v>
      </c>
      <c r="J487" s="14">
        <v>0.5</v>
      </c>
      <c r="K487" s="14">
        <f t="shared" si="18"/>
        <v>1</v>
      </c>
      <c r="L487" s="14">
        <v>0.4</v>
      </c>
      <c r="N487" s="4"/>
      <c r="O487" s="4"/>
      <c r="P487" s="5"/>
      <c r="Q487" s="1"/>
      <c r="R487" s="2"/>
      <c r="S487" s="2"/>
      <c r="T487" s="1"/>
      <c r="U487" s="2"/>
      <c r="V487" s="2"/>
      <c r="W487" s="2"/>
    </row>
    <row r="488" spans="1:23">
      <c r="A488" s="13">
        <v>48.6</v>
      </c>
      <c r="B488" s="13">
        <f t="shared" si="0"/>
        <v>1</v>
      </c>
      <c r="C488" s="13">
        <f>IF(B488&gt;=$S$2, A488, "")</f>
        <v>48.6</v>
      </c>
      <c r="D488" s="13">
        <f>IF(AND(B488=1, B488&gt;=$S$2), A488, "")</f>
        <v>48.6</v>
      </c>
      <c r="E488" s="13">
        <f>IF(B488&gt;=$S$2, B488, 0)</f>
        <v>1</v>
      </c>
      <c r="F488" s="13">
        <f t="shared" si="1"/>
        <v>4.8600000000000696</v>
      </c>
      <c r="G488" s="13">
        <f t="shared" si="2"/>
        <v>0.10000000000000142</v>
      </c>
      <c r="H488" s="13">
        <f>IF(B488&gt;=$T$2, A488, "")</f>
        <v>48.6</v>
      </c>
      <c r="I488" s="14">
        <f t="shared" si="17"/>
        <v>1</v>
      </c>
      <c r="J488" s="14">
        <v>0.5</v>
      </c>
      <c r="K488" s="14">
        <f t="shared" si="18"/>
        <v>1</v>
      </c>
      <c r="L488" s="14">
        <v>0.4</v>
      </c>
      <c r="N488" s="4"/>
      <c r="O488" s="4"/>
      <c r="P488" s="5"/>
      <c r="Q488" s="1"/>
      <c r="R488" s="2"/>
      <c r="S488" s="2"/>
      <c r="T488" s="1"/>
      <c r="U488" s="2"/>
      <c r="V488" s="2"/>
      <c r="W488" s="2"/>
    </row>
    <row r="489" spans="1:23">
      <c r="A489" s="13">
        <v>48.7</v>
      </c>
      <c r="B489" s="13">
        <f t="shared" si="0"/>
        <v>1</v>
      </c>
      <c r="C489" s="13">
        <f>IF(B489&gt;=$S$2, A489, "")</f>
        <v>48.7</v>
      </c>
      <c r="D489" s="13">
        <f>IF(AND(B489=1, B489&gt;=$S$2), A489, "")</f>
        <v>48.7</v>
      </c>
      <c r="E489" s="13">
        <f>IF(B489&gt;=$S$2, B489, 0)</f>
        <v>1</v>
      </c>
      <c r="F489" s="13">
        <f t="shared" si="1"/>
        <v>4.8699999999997239</v>
      </c>
      <c r="G489" s="13">
        <f t="shared" si="2"/>
        <v>9.9999999999994316E-2</v>
      </c>
      <c r="H489" s="13">
        <f>IF(B489&gt;=$T$2, A489, "")</f>
        <v>48.7</v>
      </c>
      <c r="I489" s="14">
        <f t="shared" si="17"/>
        <v>1</v>
      </c>
      <c r="J489" s="14">
        <v>0.5</v>
      </c>
      <c r="K489" s="14">
        <f t="shared" si="18"/>
        <v>1</v>
      </c>
      <c r="L489" s="14">
        <v>0.4</v>
      </c>
      <c r="N489" s="4"/>
      <c r="O489" s="4"/>
      <c r="P489" s="5"/>
      <c r="Q489" s="1"/>
      <c r="R489" s="2"/>
      <c r="S489" s="2"/>
      <c r="T489" s="1"/>
      <c r="U489" s="2"/>
      <c r="V489" s="2"/>
      <c r="W489" s="2"/>
    </row>
    <row r="490" spans="1:23">
      <c r="A490" s="13">
        <v>48.8</v>
      </c>
      <c r="B490" s="13">
        <f t="shared" si="0"/>
        <v>1</v>
      </c>
      <c r="C490" s="13">
        <f>IF(B490&gt;=$S$2, A490, "")</f>
        <v>48.8</v>
      </c>
      <c r="D490" s="13">
        <f>IF(AND(B490=1, B490&gt;=$S$2), A490, "")</f>
        <v>48.8</v>
      </c>
      <c r="E490" s="13">
        <f>IF(B490&gt;=$S$2, B490, 0)</f>
        <v>1</v>
      </c>
      <c r="F490" s="13">
        <f t="shared" si="1"/>
        <v>4.8800000000000692</v>
      </c>
      <c r="G490" s="13">
        <f t="shared" si="2"/>
        <v>0.10000000000000142</v>
      </c>
      <c r="H490" s="13">
        <f>IF(B490&gt;=$T$2, A490, "")</f>
        <v>48.8</v>
      </c>
      <c r="I490" s="14">
        <f t="shared" si="17"/>
        <v>1</v>
      </c>
      <c r="J490" s="14">
        <v>0.5</v>
      </c>
      <c r="K490" s="14">
        <f t="shared" si="18"/>
        <v>1</v>
      </c>
      <c r="L490" s="14">
        <v>0.4</v>
      </c>
      <c r="N490" s="4"/>
      <c r="O490" s="4"/>
      <c r="P490" s="5"/>
      <c r="Q490" s="1"/>
      <c r="R490" s="2"/>
      <c r="S490" s="2"/>
      <c r="T490" s="1"/>
      <c r="U490" s="2"/>
      <c r="V490" s="2"/>
      <c r="W490" s="2"/>
    </row>
    <row r="491" spans="1:23">
      <c r="A491" s="13">
        <v>48.9</v>
      </c>
      <c r="B491" s="13">
        <f t="shared" si="0"/>
        <v>1</v>
      </c>
      <c r="C491" s="13">
        <f>IF(B491&gt;=$S$2, A491, "")</f>
        <v>48.9</v>
      </c>
      <c r="D491" s="13">
        <f>IF(AND(B491=1, B491&gt;=$S$2), A491, "")</f>
        <v>48.9</v>
      </c>
      <c r="E491" s="13">
        <f>IF(B491&gt;=$S$2, B491, 0)</f>
        <v>1</v>
      </c>
      <c r="F491" s="13">
        <f t="shared" si="1"/>
        <v>4.890000000000069</v>
      </c>
      <c r="G491" s="13">
        <f t="shared" si="2"/>
        <v>0.10000000000000142</v>
      </c>
      <c r="H491" s="13">
        <f>IF(B491&gt;=$T$2, A491, "")</f>
        <v>48.9</v>
      </c>
      <c r="I491" s="14">
        <f t="shared" si="17"/>
        <v>1</v>
      </c>
      <c r="J491" s="14">
        <v>0.5</v>
      </c>
      <c r="K491" s="14">
        <f t="shared" si="18"/>
        <v>1</v>
      </c>
      <c r="L491" s="14">
        <v>0.4</v>
      </c>
      <c r="N491" s="4"/>
      <c r="O491" s="4"/>
      <c r="P491" s="5"/>
      <c r="Q491" s="1"/>
      <c r="R491" s="2"/>
      <c r="S491" s="2"/>
      <c r="T491" s="1"/>
      <c r="U491" s="2"/>
      <c r="V491" s="2"/>
      <c r="W491" s="2"/>
    </row>
    <row r="492" spans="1:23">
      <c r="A492" s="13">
        <v>49</v>
      </c>
      <c r="B492" s="13">
        <f t="shared" si="0"/>
        <v>1</v>
      </c>
      <c r="C492" s="13">
        <f>IF(B492&gt;=$S$2, A492, "")</f>
        <v>49</v>
      </c>
      <c r="D492" s="13">
        <f>IF(AND(B492=1, B492&gt;=$S$2), A492, "")</f>
        <v>49</v>
      </c>
      <c r="E492" s="13">
        <f>IF(B492&gt;=$S$2, B492, 0)</f>
        <v>1</v>
      </c>
      <c r="F492" s="13">
        <f t="shared" si="1"/>
        <v>4.9000000000000696</v>
      </c>
      <c r="G492" s="13">
        <f t="shared" si="2"/>
        <v>0.10000000000000142</v>
      </c>
      <c r="H492" s="13">
        <f>IF(B492&gt;=$T$2, A492, "")</f>
        <v>49</v>
      </c>
      <c r="I492" s="14">
        <f t="shared" si="17"/>
        <v>1</v>
      </c>
      <c r="J492" s="14">
        <v>0.5</v>
      </c>
      <c r="K492" s="14">
        <f t="shared" si="18"/>
        <v>1</v>
      </c>
      <c r="L492" s="14">
        <v>0.4</v>
      </c>
      <c r="N492" s="4"/>
      <c r="O492" s="4"/>
      <c r="P492" s="5"/>
      <c r="Q492" s="1"/>
      <c r="R492" s="2"/>
      <c r="S492" s="2"/>
      <c r="T492" s="1"/>
      <c r="U492" s="2"/>
      <c r="V492" s="2"/>
      <c r="W492" s="2"/>
    </row>
    <row r="493" spans="1:23">
      <c r="A493" s="13">
        <v>49.1</v>
      </c>
      <c r="B493" s="13">
        <f t="shared" si="0"/>
        <v>1</v>
      </c>
      <c r="C493" s="13">
        <f>IF(B493&gt;=$S$2, A493, "")</f>
        <v>49.1</v>
      </c>
      <c r="D493" s="13">
        <f>IF(AND(B493=1, B493&gt;=$S$2), A493, "")</f>
        <v>49.1</v>
      </c>
      <c r="E493" s="13">
        <f>IF(B493&gt;=$S$2, B493, 0)</f>
        <v>1</v>
      </c>
      <c r="F493" s="13">
        <f t="shared" si="1"/>
        <v>4.9100000000000703</v>
      </c>
      <c r="G493" s="13">
        <f t="shared" si="2"/>
        <v>0.10000000000000142</v>
      </c>
      <c r="H493" s="13">
        <f>IF(B493&gt;=$T$2, A493, "")</f>
        <v>49.1</v>
      </c>
      <c r="I493" s="14">
        <f t="shared" si="17"/>
        <v>1</v>
      </c>
      <c r="J493" s="14">
        <v>0.5</v>
      </c>
      <c r="K493" s="14">
        <f t="shared" si="18"/>
        <v>1</v>
      </c>
      <c r="L493" s="14">
        <v>0.4</v>
      </c>
      <c r="N493" s="4"/>
      <c r="O493" s="4"/>
      <c r="P493" s="5"/>
      <c r="Q493" s="1"/>
      <c r="R493" s="2"/>
      <c r="S493" s="2"/>
      <c r="T493" s="1"/>
      <c r="U493" s="2"/>
      <c r="V493" s="2"/>
      <c r="W493" s="2"/>
    </row>
    <row r="494" spans="1:23">
      <c r="A494" s="13">
        <v>49.2</v>
      </c>
      <c r="B494" s="13">
        <f t="shared" si="0"/>
        <v>1</v>
      </c>
      <c r="C494" s="13">
        <f>IF(B494&gt;=$S$2, A494, "")</f>
        <v>49.2</v>
      </c>
      <c r="D494" s="13">
        <f>IF(AND(B494=1, B494&gt;=$S$2), A494, "")</f>
        <v>49.2</v>
      </c>
      <c r="E494" s="13">
        <f>IF(B494&gt;=$S$2, B494, 0)</f>
        <v>1</v>
      </c>
      <c r="F494" s="13">
        <f t="shared" si="1"/>
        <v>4.919999999999721</v>
      </c>
      <c r="G494" s="13">
        <f t="shared" si="2"/>
        <v>9.9999999999994316E-2</v>
      </c>
      <c r="H494" s="13">
        <f>IF(B494&gt;=$T$2, A494, "")</f>
        <v>49.2</v>
      </c>
      <c r="I494" s="14">
        <f t="shared" si="17"/>
        <v>1</v>
      </c>
      <c r="J494" s="14">
        <v>0.5</v>
      </c>
      <c r="K494" s="14">
        <f t="shared" si="18"/>
        <v>1</v>
      </c>
      <c r="L494" s="14">
        <v>0.4</v>
      </c>
      <c r="N494" s="4"/>
      <c r="O494" s="4"/>
      <c r="P494" s="5"/>
      <c r="Q494" s="1"/>
      <c r="R494" s="2"/>
      <c r="S494" s="2"/>
      <c r="T494" s="1"/>
      <c r="U494" s="2"/>
      <c r="V494" s="2"/>
      <c r="W494" s="2"/>
    </row>
    <row r="495" spans="1:23">
      <c r="A495" s="13">
        <v>49.3</v>
      </c>
      <c r="B495" s="13">
        <f t="shared" si="0"/>
        <v>1</v>
      </c>
      <c r="C495" s="13">
        <f>IF(B495&gt;=$S$2, A495, "")</f>
        <v>49.3</v>
      </c>
      <c r="D495" s="13">
        <f>IF(AND(B495=1, B495&gt;=$S$2), A495, "")</f>
        <v>49.3</v>
      </c>
      <c r="E495" s="13">
        <f>IF(B495&gt;=$S$2, B495, 0)</f>
        <v>1</v>
      </c>
      <c r="F495" s="13">
        <f t="shared" si="1"/>
        <v>4.9300000000000699</v>
      </c>
      <c r="G495" s="13">
        <f t="shared" si="2"/>
        <v>0.10000000000000142</v>
      </c>
      <c r="H495" s="13">
        <f>IF(B495&gt;=$T$2, A495, "")</f>
        <v>49.3</v>
      </c>
      <c r="I495" s="14">
        <f t="shared" si="17"/>
        <v>1</v>
      </c>
      <c r="J495" s="14">
        <v>0.5</v>
      </c>
      <c r="K495" s="14">
        <f t="shared" si="18"/>
        <v>1</v>
      </c>
      <c r="L495" s="14">
        <v>0.4</v>
      </c>
      <c r="N495" s="4"/>
      <c r="O495" s="4"/>
      <c r="P495" s="5"/>
      <c r="Q495" s="1"/>
      <c r="R495" s="2"/>
      <c r="S495" s="2"/>
      <c r="T495" s="1"/>
      <c r="U495" s="2"/>
      <c r="V495" s="2"/>
      <c r="W495" s="2"/>
    </row>
    <row r="496" spans="1:23">
      <c r="A496" s="13">
        <v>49.4</v>
      </c>
      <c r="B496" s="13">
        <f t="shared" si="0"/>
        <v>1</v>
      </c>
      <c r="C496" s="13">
        <f>IF(B496&gt;=$S$2, A496, "")</f>
        <v>49.4</v>
      </c>
      <c r="D496" s="13">
        <f>IF(AND(B496=1, B496&gt;=$S$2), A496, "")</f>
        <v>49.4</v>
      </c>
      <c r="E496" s="13">
        <f>IF(B496&gt;=$S$2, B496, 0)</f>
        <v>1</v>
      </c>
      <c r="F496" s="13">
        <f t="shared" si="1"/>
        <v>4.9400000000000697</v>
      </c>
      <c r="G496" s="13">
        <f t="shared" si="2"/>
        <v>0.10000000000000142</v>
      </c>
      <c r="H496" s="13">
        <f>IF(B496&gt;=$T$2, A496, "")</f>
        <v>49.4</v>
      </c>
      <c r="I496" s="14">
        <f t="shared" si="17"/>
        <v>1</v>
      </c>
      <c r="J496" s="14">
        <v>0.5</v>
      </c>
      <c r="K496" s="14">
        <f t="shared" si="18"/>
        <v>1</v>
      </c>
      <c r="L496" s="14">
        <v>0.4</v>
      </c>
      <c r="N496" s="4"/>
      <c r="O496" s="4"/>
      <c r="P496" s="5"/>
      <c r="Q496" s="1"/>
      <c r="R496" s="2"/>
      <c r="S496" s="2"/>
      <c r="T496" s="1"/>
      <c r="U496" s="2"/>
      <c r="V496" s="2"/>
      <c r="W496" s="2"/>
    </row>
    <row r="497" spans="1:23">
      <c r="A497" s="13">
        <v>49.5</v>
      </c>
      <c r="B497" s="13">
        <f t="shared" si="0"/>
        <v>1</v>
      </c>
      <c r="C497" s="13">
        <f>IF(B497&gt;=$S$2, A497, "")</f>
        <v>49.5</v>
      </c>
      <c r="D497" s="13">
        <f>IF(AND(B497=1, B497&gt;=$S$2), A497, "")</f>
        <v>49.5</v>
      </c>
      <c r="E497" s="13">
        <f>IF(B497&gt;=$S$2, B497, 0)</f>
        <v>1</v>
      </c>
      <c r="F497" s="13">
        <f t="shared" si="1"/>
        <v>4.9500000000000703</v>
      </c>
      <c r="G497" s="13">
        <f t="shared" si="2"/>
        <v>0.10000000000000142</v>
      </c>
      <c r="H497" s="13">
        <f>IF(B497&gt;=$T$2, A497, "")</f>
        <v>49.5</v>
      </c>
      <c r="I497" s="14">
        <f t="shared" si="17"/>
        <v>1</v>
      </c>
      <c r="J497" s="14">
        <v>0.5</v>
      </c>
      <c r="K497" s="14">
        <f t="shared" si="18"/>
        <v>1</v>
      </c>
      <c r="L497" s="14">
        <v>0.4</v>
      </c>
      <c r="N497" s="4"/>
      <c r="O497" s="4"/>
      <c r="P497" s="5"/>
      <c r="Q497" s="1"/>
      <c r="R497" s="2"/>
      <c r="S497" s="2"/>
      <c r="T497" s="1"/>
      <c r="U497" s="2"/>
      <c r="V497" s="2"/>
      <c r="W497" s="2"/>
    </row>
    <row r="498" spans="1:23">
      <c r="A498" s="13">
        <v>49.6</v>
      </c>
      <c r="B498" s="13">
        <f t="shared" si="0"/>
        <v>1</v>
      </c>
      <c r="C498" s="13">
        <f>IF(B498&gt;=$S$2, A498, "")</f>
        <v>49.6</v>
      </c>
      <c r="D498" s="13">
        <f>IF(AND(B498=1, B498&gt;=$S$2), A498, "")</f>
        <v>49.6</v>
      </c>
      <c r="E498" s="13">
        <f>IF(B498&gt;=$S$2, B498, 0)</f>
        <v>1</v>
      </c>
      <c r="F498" s="13">
        <f t="shared" si="1"/>
        <v>4.960000000000071</v>
      </c>
      <c r="G498" s="13">
        <f t="shared" si="2"/>
        <v>0.10000000000000142</v>
      </c>
      <c r="H498" s="13">
        <f>IF(B498&gt;=$T$2, A498, "")</f>
        <v>49.6</v>
      </c>
      <c r="I498" s="14">
        <f t="shared" si="17"/>
        <v>1</v>
      </c>
      <c r="J498" s="14">
        <v>0.5</v>
      </c>
      <c r="K498" s="14">
        <f t="shared" si="18"/>
        <v>1</v>
      </c>
      <c r="L498" s="14">
        <v>0.4</v>
      </c>
      <c r="N498" s="4"/>
      <c r="O498" s="4"/>
      <c r="P498" s="5"/>
      <c r="Q498" s="1"/>
      <c r="R498" s="2"/>
      <c r="S498" s="2"/>
      <c r="T498" s="1"/>
      <c r="U498" s="2"/>
      <c r="V498" s="2"/>
      <c r="W498" s="2"/>
    </row>
    <row r="499" spans="1:23">
      <c r="A499" s="13">
        <v>49.7</v>
      </c>
      <c r="B499" s="13">
        <f t="shared" si="0"/>
        <v>1</v>
      </c>
      <c r="C499" s="13">
        <f>IF(B499&gt;=$S$2, A499, "")</f>
        <v>49.7</v>
      </c>
      <c r="D499" s="13">
        <f>IF(AND(B499=1, B499&gt;=$S$2), A499, "")</f>
        <v>49.7</v>
      </c>
      <c r="E499" s="13">
        <f>IF(B499&gt;=$S$2, B499, 0)</f>
        <v>1</v>
      </c>
      <c r="F499" s="13">
        <f t="shared" si="1"/>
        <v>4.9699999999997182</v>
      </c>
      <c r="G499" s="13">
        <f t="shared" si="2"/>
        <v>9.9999999999994316E-2</v>
      </c>
      <c r="H499" s="13">
        <f>IF(B499&gt;=$T$2, A499, "")</f>
        <v>49.7</v>
      </c>
      <c r="I499" s="14">
        <f t="shared" si="17"/>
        <v>1</v>
      </c>
      <c r="J499" s="14">
        <v>0.5</v>
      </c>
      <c r="K499" s="14">
        <f t="shared" si="18"/>
        <v>1</v>
      </c>
      <c r="L499" s="14">
        <v>0.4</v>
      </c>
      <c r="N499" s="4"/>
      <c r="O499" s="4"/>
      <c r="P499" s="5"/>
      <c r="Q499" s="1"/>
      <c r="R499" s="2"/>
      <c r="S499" s="2"/>
      <c r="T499" s="1"/>
      <c r="U499" s="2"/>
      <c r="V499" s="2"/>
      <c r="W499" s="2"/>
    </row>
    <row r="500" spans="1:23">
      <c r="A500" s="13">
        <v>49.8</v>
      </c>
      <c r="B500" s="13">
        <f t="shared" si="0"/>
        <v>1</v>
      </c>
      <c r="C500" s="13">
        <f>IF(B500&gt;=$S$2, A500, "")</f>
        <v>49.8</v>
      </c>
      <c r="D500" s="13">
        <f>IF(AND(B500=1, B500&gt;=$S$2), A500, "")</f>
        <v>49.8</v>
      </c>
      <c r="E500" s="13">
        <f>IF(B500&gt;=$S$2, B500, 0)</f>
        <v>1</v>
      </c>
      <c r="F500" s="13">
        <f t="shared" si="1"/>
        <v>4.9800000000000706</v>
      </c>
      <c r="G500" s="13">
        <f t="shared" si="2"/>
        <v>0.10000000000000142</v>
      </c>
      <c r="H500" s="13">
        <f>IF(B500&gt;=$T$2, A500, "")</f>
        <v>49.8</v>
      </c>
      <c r="I500" s="14">
        <f t="shared" si="17"/>
        <v>1</v>
      </c>
      <c r="J500" s="14">
        <v>0.5</v>
      </c>
      <c r="K500" s="14">
        <f t="shared" si="18"/>
        <v>1</v>
      </c>
      <c r="L500" s="14">
        <v>0.4</v>
      </c>
      <c r="N500" s="4"/>
      <c r="O500" s="4"/>
      <c r="P500" s="5"/>
      <c r="Q500" s="1"/>
      <c r="R500" s="2"/>
      <c r="S500" s="2"/>
      <c r="T500" s="1"/>
      <c r="U500" s="2"/>
      <c r="V500" s="2"/>
      <c r="W500" s="2"/>
    </row>
    <row r="501" spans="1:23">
      <c r="A501" s="13">
        <v>49.9</v>
      </c>
      <c r="B501" s="13">
        <f t="shared" si="0"/>
        <v>1</v>
      </c>
      <c r="C501" s="13">
        <f>IF(B501&gt;=$S$2, A501, "")</f>
        <v>49.9</v>
      </c>
      <c r="D501" s="13">
        <f>IF(AND(B501=1, B501&gt;=$S$2), A501, "")</f>
        <v>49.9</v>
      </c>
      <c r="E501" s="13">
        <f>IF(B501&gt;=$S$2, B501, 0)</f>
        <v>1</v>
      </c>
      <c r="F501" s="13">
        <f t="shared" si="1"/>
        <v>4.9900000000000704</v>
      </c>
      <c r="G501" s="13">
        <f t="shared" si="2"/>
        <v>0.10000000000000142</v>
      </c>
      <c r="H501" s="13">
        <f>IF(B501&gt;=$T$2, A501, "")</f>
        <v>49.9</v>
      </c>
      <c r="I501" s="14">
        <f t="shared" si="17"/>
        <v>1</v>
      </c>
      <c r="J501" s="14">
        <v>0.5</v>
      </c>
      <c r="K501" s="14">
        <f t="shared" si="18"/>
        <v>1</v>
      </c>
      <c r="L501" s="14">
        <v>0.4</v>
      </c>
      <c r="N501" s="4"/>
      <c r="O501" s="4"/>
      <c r="P501" s="5"/>
      <c r="Q501" s="1"/>
      <c r="R501" s="2"/>
      <c r="S501" s="2"/>
      <c r="T501" s="1"/>
      <c r="U501" s="2"/>
      <c r="V501" s="2"/>
      <c r="W501" s="2"/>
    </row>
    <row r="502" spans="1:23">
      <c r="A502" s="13">
        <v>50</v>
      </c>
      <c r="B502" s="13">
        <f t="shared" si="0"/>
        <v>1</v>
      </c>
      <c r="C502" s="13">
        <f>IF(B502&gt;=$S$2, A502, "")</f>
        <v>50</v>
      </c>
      <c r="D502" s="13">
        <f>IF(AND(B502=1, B502&gt;=$S$2), A502, "")</f>
        <v>50</v>
      </c>
      <c r="E502" s="13">
        <f>IF(B502&gt;=$S$2, B502, 0)</f>
        <v>1</v>
      </c>
      <c r="F502" s="13">
        <f t="shared" si="1"/>
        <v>5.0000000000000711</v>
      </c>
      <c r="G502" s="13">
        <f t="shared" si="2"/>
        <v>0.10000000000000142</v>
      </c>
      <c r="H502" s="13">
        <f>IF(B502&gt;=$T$2, A502, "")</f>
        <v>50</v>
      </c>
      <c r="I502" s="14">
        <f t="shared" si="17"/>
        <v>1</v>
      </c>
      <c r="J502" s="14">
        <v>0.5</v>
      </c>
      <c r="K502" s="14">
        <f t="shared" si="18"/>
        <v>1</v>
      </c>
      <c r="L502" s="14">
        <v>0.4</v>
      </c>
      <c r="N502" s="4"/>
      <c r="O502" s="4"/>
      <c r="P502" s="5"/>
      <c r="Q502" s="1"/>
      <c r="R502" s="2"/>
      <c r="S502" s="2"/>
      <c r="T502" s="1"/>
      <c r="U502" s="2"/>
      <c r="V502" s="2"/>
      <c r="W502" s="2"/>
    </row>
    <row r="503" spans="1:23">
      <c r="A503" s="13">
        <v>50.1</v>
      </c>
      <c r="B503" s="13">
        <f t="shared" si="0"/>
        <v>0.99171746620726187</v>
      </c>
      <c r="C503" s="13">
        <f>IF(B503&gt;=$S$2, A503, "")</f>
        <v>50.1</v>
      </c>
      <c r="D503" s="13" t="str">
        <f>IF(AND(B503=1, B503&gt;=$S$2), A503, "")</f>
        <v/>
      </c>
      <c r="E503" s="13">
        <f>IF(B503&gt;=$S$2, B503, 0)</f>
        <v>0.99171746620726187</v>
      </c>
      <c r="F503" s="13">
        <f t="shared" si="1"/>
        <v>4.9685045056984531</v>
      </c>
      <c r="G503" s="13">
        <f t="shared" si="2"/>
        <v>9.9171746620727599E-2</v>
      </c>
      <c r="H503" s="13">
        <f>IF(B503&gt;=$T$2, A503, "")</f>
        <v>50.1</v>
      </c>
      <c r="I503" s="14">
        <f t="shared" si="17"/>
        <v>0.99171746620726187</v>
      </c>
      <c r="J503" s="14">
        <v>0.5</v>
      </c>
      <c r="K503" s="14">
        <f t="shared" si="18"/>
        <v>0.99171746620726187</v>
      </c>
      <c r="L503" s="14">
        <v>0.4</v>
      </c>
      <c r="N503" s="4"/>
      <c r="O503" s="4"/>
      <c r="P503" s="5"/>
      <c r="Q503" s="1"/>
      <c r="R503" s="2"/>
      <c r="S503" s="2"/>
      <c r="T503" s="1"/>
      <c r="U503" s="2"/>
      <c r="V503" s="2"/>
      <c r="W503" s="2"/>
    </row>
    <row r="504" spans="1:23">
      <c r="A504" s="13">
        <v>50.2</v>
      </c>
      <c r="B504" s="13">
        <f t="shared" si="0"/>
        <v>0.98343493241452384</v>
      </c>
      <c r="C504" s="13">
        <f>IF(B504&gt;=$S$2, A504, "")</f>
        <v>50.2</v>
      </c>
      <c r="D504" s="13" t="str">
        <f>IF(AND(B504=1, B504&gt;=$S$2), A504, "")</f>
        <v/>
      </c>
      <c r="E504" s="13">
        <f>IF(B504&gt;=$S$2, B504, 0)</f>
        <v>0.98343493241452384</v>
      </c>
      <c r="F504" s="13">
        <f t="shared" si="1"/>
        <v>4.936843360720629</v>
      </c>
      <c r="G504" s="13">
        <f t="shared" si="2"/>
        <v>9.8343493241446797E-2</v>
      </c>
      <c r="H504" s="13">
        <f>IF(B504&gt;=$T$2, A504, "")</f>
        <v>50.2</v>
      </c>
      <c r="I504" s="14">
        <f t="shared" si="17"/>
        <v>0.98343493241452384</v>
      </c>
      <c r="J504" s="14">
        <v>0.5</v>
      </c>
      <c r="K504" s="14">
        <f t="shared" si="18"/>
        <v>0.98343493241452384</v>
      </c>
      <c r="L504" s="14">
        <v>0.4</v>
      </c>
      <c r="N504" s="4"/>
      <c r="O504" s="4"/>
      <c r="P504" s="5"/>
      <c r="Q504" s="1"/>
      <c r="R504" s="2"/>
      <c r="S504" s="2"/>
      <c r="T504" s="1"/>
      <c r="U504" s="2"/>
      <c r="V504" s="2"/>
      <c r="W504" s="2"/>
    </row>
    <row r="505" spans="1:23">
      <c r="A505" s="13">
        <v>50.3</v>
      </c>
      <c r="B505" s="13">
        <f t="shared" si="0"/>
        <v>0.97515239862178649</v>
      </c>
      <c r="C505" s="13">
        <f>IF(B505&gt;=$S$2, A505, "")</f>
        <v>50.3</v>
      </c>
      <c r="D505" s="13" t="str">
        <f>IF(AND(B505=1, B505&gt;=$S$2), A505, "")</f>
        <v/>
      </c>
      <c r="E505" s="13">
        <f>IF(B505&gt;=$S$2, B505, 0)</f>
        <v>0.97515239862178649</v>
      </c>
      <c r="F505" s="13">
        <f t="shared" si="1"/>
        <v>4.9050165650676556</v>
      </c>
      <c r="G505" s="13">
        <f t="shared" si="2"/>
        <v>9.7515239862180039E-2</v>
      </c>
      <c r="H505" s="13">
        <f>IF(B505&gt;=$T$2, A505, "")</f>
        <v>50.3</v>
      </c>
      <c r="I505" s="14">
        <f t="shared" si="17"/>
        <v>0.97515239862178649</v>
      </c>
      <c r="J505" s="14">
        <v>0.5</v>
      </c>
      <c r="K505" s="14">
        <f t="shared" si="18"/>
        <v>0.97515239862178649</v>
      </c>
      <c r="L505" s="14">
        <v>0.4</v>
      </c>
      <c r="N505" s="4"/>
      <c r="O505" s="4"/>
      <c r="P505" s="5"/>
      <c r="Q505" s="1"/>
      <c r="R505" s="2"/>
      <c r="S505" s="2"/>
      <c r="T505" s="1"/>
      <c r="U505" s="2"/>
      <c r="V505" s="2"/>
      <c r="W505" s="2"/>
    </row>
    <row r="506" spans="1:23">
      <c r="A506" s="13">
        <v>50.4</v>
      </c>
      <c r="B506" s="13">
        <f t="shared" si="0"/>
        <v>0.96686986482904846</v>
      </c>
      <c r="C506" s="13">
        <f>IF(B506&gt;=$S$2, A506, "")</f>
        <v>50.4</v>
      </c>
      <c r="D506" s="13" t="str">
        <f>IF(AND(B506=1, B506&gt;=$S$2), A506, "")</f>
        <v/>
      </c>
      <c r="E506" s="13">
        <f>IF(B506&gt;=$S$2, B506, 0)</f>
        <v>0.96686986482904846</v>
      </c>
      <c r="F506" s="13">
        <f t="shared" si="1"/>
        <v>4.8730241187384733</v>
      </c>
      <c r="G506" s="13">
        <f t="shared" si="2"/>
        <v>9.6686986482906218E-2</v>
      </c>
      <c r="H506" s="13">
        <f>IF(B506&gt;=$T$2, A506, "")</f>
        <v>50.4</v>
      </c>
      <c r="I506" s="14">
        <f t="shared" si="17"/>
        <v>0.96686986482904846</v>
      </c>
      <c r="J506" s="14">
        <v>0.5</v>
      </c>
      <c r="K506" s="14">
        <f t="shared" si="18"/>
        <v>0.96686986482904846</v>
      </c>
      <c r="L506" s="14">
        <v>0.4</v>
      </c>
      <c r="N506" s="4"/>
      <c r="O506" s="4"/>
      <c r="P506" s="5"/>
      <c r="Q506" s="1"/>
      <c r="R506" s="2"/>
      <c r="S506" s="2"/>
      <c r="T506" s="1"/>
      <c r="U506" s="2"/>
      <c r="V506" s="2"/>
      <c r="W506" s="2"/>
    </row>
    <row r="507" spans="1:23">
      <c r="A507" s="13">
        <v>50.5</v>
      </c>
      <c r="B507" s="13">
        <f t="shared" si="0"/>
        <v>0.95858733103631044</v>
      </c>
      <c r="C507" s="13">
        <f>IF(B507&gt;=$S$2, A507, "")</f>
        <v>50.5</v>
      </c>
      <c r="D507" s="13" t="str">
        <f>IF(AND(B507=1, B507&gt;=$S$2), A507, "")</f>
        <v/>
      </c>
      <c r="E507" s="13">
        <f>IF(B507&gt;=$S$2, B507, 0)</f>
        <v>0.95858733103631044</v>
      </c>
      <c r="F507" s="13">
        <f t="shared" si="1"/>
        <v>4.8408660217334365</v>
      </c>
      <c r="G507" s="13">
        <f t="shared" si="2"/>
        <v>9.585873310363241E-2</v>
      </c>
      <c r="H507" s="13">
        <f>IF(B507&gt;=$T$2, A507, "")</f>
        <v>50.5</v>
      </c>
      <c r="I507" s="14">
        <f t="shared" si="17"/>
        <v>0.95858733103631044</v>
      </c>
      <c r="J507" s="14">
        <v>0.5</v>
      </c>
      <c r="K507" s="14">
        <f t="shared" si="18"/>
        <v>0.95858733103631044</v>
      </c>
      <c r="L507" s="14">
        <v>0.4</v>
      </c>
      <c r="N507" s="4"/>
      <c r="O507" s="4"/>
      <c r="P507" s="5"/>
      <c r="Q507" s="1"/>
      <c r="R507" s="2"/>
      <c r="S507" s="2"/>
      <c r="T507" s="1"/>
      <c r="U507" s="2"/>
      <c r="V507" s="2"/>
      <c r="W507" s="2"/>
    </row>
    <row r="508" spans="1:23">
      <c r="A508" s="13">
        <v>50.6</v>
      </c>
      <c r="B508" s="13">
        <f t="shared" si="0"/>
        <v>0.95030479724357253</v>
      </c>
      <c r="C508" s="13">
        <f>IF(B508&gt;=$S$2, A508, "")</f>
        <v>50.6</v>
      </c>
      <c r="D508" s="13" t="str">
        <f>IF(AND(B508=1, B508&gt;=$S$2), A508, "")</f>
        <v/>
      </c>
      <c r="E508" s="13">
        <f>IF(B508&gt;=$S$2, B508, 0)</f>
        <v>0.95030479724357253</v>
      </c>
      <c r="F508" s="13">
        <f t="shared" si="1"/>
        <v>4.8085422740525452</v>
      </c>
      <c r="G508" s="13">
        <f t="shared" si="2"/>
        <v>9.5030479724358602E-2</v>
      </c>
      <c r="H508" s="13">
        <f>IF(B508&gt;=$T$2, A508, "")</f>
        <v>50.6</v>
      </c>
      <c r="I508" s="14">
        <f t="shared" si="17"/>
        <v>0.95030479724357253</v>
      </c>
      <c r="J508" s="14">
        <v>0.5</v>
      </c>
      <c r="K508" s="14">
        <f t="shared" si="18"/>
        <v>0.95030479724357253</v>
      </c>
      <c r="L508" s="14">
        <v>0.4</v>
      </c>
      <c r="N508" s="4"/>
      <c r="O508" s="4"/>
      <c r="P508" s="5"/>
      <c r="Q508" s="1"/>
      <c r="R508" s="2"/>
      <c r="S508" s="2"/>
      <c r="T508" s="1"/>
      <c r="U508" s="2"/>
      <c r="V508" s="2"/>
      <c r="W508" s="2"/>
    </row>
    <row r="509" spans="1:23">
      <c r="A509" s="13">
        <v>50.7</v>
      </c>
      <c r="B509" s="13">
        <f t="shared" si="0"/>
        <v>0.94202226345083451</v>
      </c>
      <c r="C509" s="13">
        <f>IF(B509&gt;=$S$2, A509, "")</f>
        <v>50.7</v>
      </c>
      <c r="D509" s="13" t="str">
        <f>IF(AND(B509=1, B509&gt;=$S$2), A509, "")</f>
        <v/>
      </c>
      <c r="E509" s="13">
        <f>IF(B509&gt;=$S$2, B509, 0)</f>
        <v>0.94202226345083451</v>
      </c>
      <c r="F509" s="13">
        <f t="shared" si="1"/>
        <v>4.7760528756954601</v>
      </c>
      <c r="G509" s="13">
        <f t="shared" si="2"/>
        <v>9.4202226345078091E-2</v>
      </c>
      <c r="H509" s="13">
        <f>IF(B509&gt;=$T$2, A509, "")</f>
        <v>50.7</v>
      </c>
      <c r="I509" s="14">
        <f t="shared" si="17"/>
        <v>0.94202226345083451</v>
      </c>
      <c r="J509" s="14">
        <v>0.5</v>
      </c>
      <c r="K509" s="14">
        <f t="shared" si="18"/>
        <v>0.94202226345083451</v>
      </c>
      <c r="L509" s="14">
        <v>0.4</v>
      </c>
      <c r="N509" s="4"/>
      <c r="O509" s="4"/>
      <c r="P509" s="5"/>
      <c r="Q509" s="1"/>
      <c r="R509" s="2"/>
      <c r="S509" s="2"/>
      <c r="T509" s="1"/>
      <c r="U509" s="2"/>
      <c r="V509" s="2"/>
      <c r="W509" s="2"/>
    </row>
    <row r="510" spans="1:23">
      <c r="A510" s="13">
        <v>50.8</v>
      </c>
      <c r="B510" s="13">
        <f t="shared" si="0"/>
        <v>0.93373972965809715</v>
      </c>
      <c r="C510" s="13">
        <f>IF(B510&gt;=$S$2, A510, "")</f>
        <v>50.8</v>
      </c>
      <c r="D510" s="13" t="str">
        <f>IF(AND(B510=1, B510&gt;=$S$2), A510, "")</f>
        <v/>
      </c>
      <c r="E510" s="13">
        <f>IF(B510&gt;=$S$2, B510, 0)</f>
        <v>0.93373972965809715</v>
      </c>
      <c r="F510" s="13">
        <f t="shared" si="1"/>
        <v>4.7433978266632009</v>
      </c>
      <c r="G510" s="13">
        <f t="shared" si="2"/>
        <v>9.3373972965811042E-2</v>
      </c>
      <c r="H510" s="13">
        <f>IF(B510&gt;=$T$2, A510, "")</f>
        <v>50.8</v>
      </c>
      <c r="I510" s="14">
        <f t="shared" si="17"/>
        <v>0.93373972965809715</v>
      </c>
      <c r="J510" s="14">
        <v>0.5</v>
      </c>
      <c r="K510" s="14">
        <f t="shared" si="18"/>
        <v>0.93373972965809715</v>
      </c>
      <c r="L510" s="14">
        <v>0.4</v>
      </c>
      <c r="N510" s="4"/>
      <c r="O510" s="4"/>
      <c r="P510" s="5"/>
      <c r="Q510" s="1"/>
      <c r="R510" s="2"/>
      <c r="S510" s="2"/>
      <c r="T510" s="1"/>
      <c r="U510" s="2"/>
      <c r="V510" s="2"/>
      <c r="W510" s="2"/>
    </row>
    <row r="511" spans="1:23">
      <c r="A511" s="13">
        <v>50.9</v>
      </c>
      <c r="B511" s="13">
        <f t="shared" si="0"/>
        <v>0.92545719586535913</v>
      </c>
      <c r="C511" s="13">
        <f>IF(B511&gt;=$S$2, A511, "")</f>
        <v>50.9</v>
      </c>
      <c r="D511" s="13" t="str">
        <f>IF(AND(B511=1, B511&gt;=$S$2), A511, "")</f>
        <v/>
      </c>
      <c r="E511" s="13">
        <f>IF(B511&gt;=$S$2, B511, 0)</f>
        <v>0.92545719586535913</v>
      </c>
      <c r="F511" s="13">
        <f t="shared" si="1"/>
        <v>4.7105771269547452</v>
      </c>
      <c r="G511" s="13">
        <f t="shared" si="2"/>
        <v>9.2545719586537234E-2</v>
      </c>
      <c r="H511" s="13">
        <f>IF(B511&gt;=$T$2, A511, "")</f>
        <v>50.9</v>
      </c>
      <c r="I511" s="14">
        <f t="shared" si="17"/>
        <v>0.92545719586535913</v>
      </c>
      <c r="J511" s="14">
        <v>0.5</v>
      </c>
      <c r="K511" s="14">
        <f t="shared" si="18"/>
        <v>0.92545719586535913</v>
      </c>
      <c r="L511" s="14">
        <v>0.4</v>
      </c>
      <c r="N511" s="4"/>
      <c r="O511" s="4"/>
      <c r="P511" s="5"/>
      <c r="Q511" s="1"/>
      <c r="R511" s="2"/>
      <c r="S511" s="2"/>
      <c r="T511" s="1"/>
      <c r="U511" s="2"/>
      <c r="V511" s="2"/>
      <c r="W511" s="2"/>
    </row>
    <row r="512" spans="1:23">
      <c r="A512" s="13">
        <v>51</v>
      </c>
      <c r="B512" s="13">
        <f t="shared" si="0"/>
        <v>0.91717466207262111</v>
      </c>
      <c r="C512" s="13">
        <f>IF(B512&gt;=$S$2, A512, "")</f>
        <v>51</v>
      </c>
      <c r="D512" s="13" t="str">
        <f>IF(AND(B512=1, B512&gt;=$S$2), A512, "")</f>
        <v/>
      </c>
      <c r="E512" s="13">
        <f>IF(B512&gt;=$S$2, B512, 0)</f>
        <v>0.91717466207262111</v>
      </c>
      <c r="F512" s="13">
        <f t="shared" si="1"/>
        <v>4.6775907765704341</v>
      </c>
      <c r="G512" s="13">
        <f t="shared" si="2"/>
        <v>9.1717466207263412E-2</v>
      </c>
      <c r="H512" s="13">
        <f>IF(B512&gt;=$T$2, A512, "")</f>
        <v>51</v>
      </c>
      <c r="I512" s="14">
        <f t="shared" si="17"/>
        <v>0.91717466207262111</v>
      </c>
      <c r="J512" s="14">
        <v>0.5</v>
      </c>
      <c r="K512" s="14">
        <f t="shared" si="18"/>
        <v>0.91717466207262111</v>
      </c>
      <c r="L512" s="14">
        <v>0.4</v>
      </c>
      <c r="N512" s="4"/>
      <c r="O512" s="4"/>
      <c r="P512" s="5"/>
      <c r="Q512" s="1"/>
      <c r="R512" s="2"/>
      <c r="S512" s="2"/>
      <c r="T512" s="1"/>
      <c r="U512" s="2"/>
      <c r="V512" s="2"/>
      <c r="W512" s="2"/>
    </row>
    <row r="513" spans="1:23">
      <c r="A513" s="13">
        <v>51.1</v>
      </c>
      <c r="B513" s="13">
        <f t="shared" si="0"/>
        <v>0.90889212827988308</v>
      </c>
      <c r="C513" s="13">
        <f>IF(B513&gt;=$S$2, A513, "")</f>
        <v>51.1</v>
      </c>
      <c r="D513" s="13" t="str">
        <f>IF(AND(B513=1, B513&gt;=$S$2), A513, "")</f>
        <v/>
      </c>
      <c r="E513" s="13">
        <f>IF(B513&gt;=$S$2, B513, 0)</f>
        <v>0.90889212827988308</v>
      </c>
      <c r="F513" s="13">
        <f t="shared" si="1"/>
        <v>4.6444387755102685</v>
      </c>
      <c r="G513" s="13">
        <f t="shared" si="2"/>
        <v>9.0889212827989604E-2</v>
      </c>
      <c r="H513" s="13">
        <f>IF(B513&gt;=$T$2, A513, "")</f>
        <v>51.1</v>
      </c>
      <c r="I513" s="14">
        <f t="shared" si="17"/>
        <v>0.90889212827988308</v>
      </c>
      <c r="J513" s="14">
        <v>0.5</v>
      </c>
      <c r="K513" s="14">
        <f t="shared" si="18"/>
        <v>0.90889212827988308</v>
      </c>
      <c r="L513" s="14">
        <v>0.4</v>
      </c>
      <c r="N513" s="4"/>
      <c r="O513" s="4"/>
      <c r="P513" s="5"/>
      <c r="Q513" s="1"/>
      <c r="R513" s="2"/>
      <c r="S513" s="2"/>
      <c r="T513" s="1"/>
      <c r="U513" s="2"/>
      <c r="V513" s="2"/>
      <c r="W513" s="2"/>
    </row>
    <row r="514" spans="1:23">
      <c r="A514" s="13">
        <v>51.2</v>
      </c>
      <c r="B514" s="13">
        <f t="shared" si="0"/>
        <v>0.90060959448714517</v>
      </c>
      <c r="C514" s="13">
        <f>IF(B514&gt;=$S$2, A514, "")</f>
        <v>51.2</v>
      </c>
      <c r="D514" s="13" t="str">
        <f>IF(AND(B514=1, B514&gt;=$S$2), A514, "")</f>
        <v/>
      </c>
      <c r="E514" s="13">
        <f>IF(B514&gt;=$S$2, B514, 0)</f>
        <v>0.90060959448714517</v>
      </c>
      <c r="F514" s="13">
        <f t="shared" si="1"/>
        <v>4.6111211237739216</v>
      </c>
      <c r="G514" s="13">
        <f t="shared" si="2"/>
        <v>9.0060959448709399E-2</v>
      </c>
      <c r="H514" s="13">
        <f>IF(B514&gt;=$T$2, A514, "")</f>
        <v>51.2</v>
      </c>
      <c r="I514" s="14">
        <f t="shared" si="17"/>
        <v>0.90060959448714517</v>
      </c>
      <c r="J514" s="14">
        <v>0.5</v>
      </c>
      <c r="K514" s="14">
        <f t="shared" si="18"/>
        <v>0.90060959448714517</v>
      </c>
      <c r="L514" s="14">
        <v>0.4</v>
      </c>
      <c r="N514" s="4"/>
      <c r="O514" s="4"/>
      <c r="P514" s="5"/>
      <c r="Q514" s="1"/>
      <c r="R514" s="2"/>
      <c r="S514" s="2"/>
      <c r="T514" s="1"/>
      <c r="U514" s="2"/>
      <c r="V514" s="2"/>
      <c r="W514" s="2"/>
    </row>
    <row r="515" spans="1:23">
      <c r="A515" s="13">
        <v>51.3</v>
      </c>
      <c r="B515" s="13">
        <f t="shared" si="0"/>
        <v>0.8923270606944077</v>
      </c>
      <c r="C515" s="13">
        <f>IF(B515&gt;=$S$2, A515, "")</f>
        <v>51.3</v>
      </c>
      <c r="D515" s="13" t="str">
        <f>IF(AND(B515=1, B515&gt;=$S$2), A515, "")</f>
        <v/>
      </c>
      <c r="E515" s="13">
        <f>IF(B515&gt;=$S$2, B515, 0)</f>
        <v>0.8923270606944077</v>
      </c>
      <c r="F515" s="13">
        <f t="shared" si="1"/>
        <v>4.5776378213623765</v>
      </c>
      <c r="G515" s="13">
        <f t="shared" si="2"/>
        <v>8.9232706069442044E-2</v>
      </c>
      <c r="H515" s="13">
        <f>IF(B515&gt;=$T$2, A515, "")</f>
        <v>51.3</v>
      </c>
      <c r="I515" s="14">
        <f t="shared" ref="I515:I578" si="19">IF($B515&gt;=0.5, $B515, #N/A)</f>
        <v>0.8923270606944077</v>
      </c>
      <c r="J515" s="14">
        <v>0.5</v>
      </c>
      <c r="K515" s="14">
        <f t="shared" ref="K515:K578" si="20">IF($B515&gt;=0.4, $B515, #N/A)</f>
        <v>0.8923270606944077</v>
      </c>
      <c r="L515" s="14">
        <v>0.4</v>
      </c>
      <c r="N515" s="4"/>
      <c r="O515" s="4"/>
      <c r="P515" s="5"/>
      <c r="Q515" s="1"/>
      <c r="R515" s="2"/>
      <c r="S515" s="2"/>
      <c r="T515" s="1"/>
      <c r="U515" s="2"/>
      <c r="V515" s="2"/>
      <c r="W515" s="2"/>
    </row>
    <row r="516" spans="1:23">
      <c r="A516" s="13">
        <v>51.4</v>
      </c>
      <c r="B516" s="13">
        <f t="shared" si="0"/>
        <v>0.88404452690166979</v>
      </c>
      <c r="C516" s="13">
        <f>IF(B516&gt;=$S$2, A516, "")</f>
        <v>51.4</v>
      </c>
      <c r="D516" s="13" t="str">
        <f>IF(AND(B516=1, B516&gt;=$S$2), A516, "")</f>
        <v/>
      </c>
      <c r="E516" s="13">
        <f>IF(B516&gt;=$S$2, B516, 0)</f>
        <v>0.88404452690166979</v>
      </c>
      <c r="F516" s="13">
        <f t="shared" si="1"/>
        <v>4.5439888682746474</v>
      </c>
      <c r="G516" s="13">
        <f t="shared" si="2"/>
        <v>8.8404452690168236E-2</v>
      </c>
      <c r="H516" s="13">
        <f>IF(B516&gt;=$T$2, A516, "")</f>
        <v>51.4</v>
      </c>
      <c r="I516" s="14">
        <f t="shared" si="19"/>
        <v>0.88404452690166979</v>
      </c>
      <c r="J516" s="14">
        <v>0.5</v>
      </c>
      <c r="K516" s="14">
        <f t="shared" si="20"/>
        <v>0.88404452690166979</v>
      </c>
      <c r="L516" s="14">
        <v>0.4</v>
      </c>
      <c r="N516" s="4"/>
      <c r="O516" s="4"/>
      <c r="P516" s="5"/>
      <c r="Q516" s="1"/>
      <c r="R516" s="2"/>
      <c r="S516" s="2"/>
      <c r="T516" s="1"/>
      <c r="U516" s="2"/>
      <c r="V516" s="2"/>
      <c r="W516" s="2"/>
    </row>
    <row r="517" spans="1:23">
      <c r="A517" s="13">
        <v>51.5</v>
      </c>
      <c r="B517" s="13">
        <f t="shared" si="0"/>
        <v>0.87576199310893177</v>
      </c>
      <c r="C517" s="13">
        <f>IF(B517&gt;=$S$2, A517, "")</f>
        <v>51.5</v>
      </c>
      <c r="D517" s="13" t="str">
        <f>IF(AND(B517=1, B517&gt;=$S$2), A517, "")</f>
        <v/>
      </c>
      <c r="E517" s="13">
        <f>IF(B517&gt;=$S$2, B517, 0)</f>
        <v>0.87576199310893177</v>
      </c>
      <c r="F517" s="13">
        <f t="shared" si="1"/>
        <v>4.510174264511063</v>
      </c>
      <c r="G517" s="13">
        <f t="shared" si="2"/>
        <v>8.7576199310894415E-2</v>
      </c>
      <c r="H517" s="13">
        <f>IF(B517&gt;=$T$2, A517, "")</f>
        <v>51.5</v>
      </c>
      <c r="I517" s="14">
        <f t="shared" si="19"/>
        <v>0.87576199310893177</v>
      </c>
      <c r="J517" s="14">
        <v>0.5</v>
      </c>
      <c r="K517" s="14">
        <f t="shared" si="20"/>
        <v>0.87576199310893177</v>
      </c>
      <c r="L517" s="14">
        <v>0.4</v>
      </c>
      <c r="N517" s="4"/>
      <c r="O517" s="4"/>
      <c r="P517" s="5"/>
      <c r="Q517" s="1"/>
      <c r="R517" s="2"/>
      <c r="S517" s="2"/>
      <c r="T517" s="1"/>
      <c r="U517" s="2"/>
      <c r="V517" s="2"/>
      <c r="W517" s="2"/>
    </row>
    <row r="518" spans="1:23">
      <c r="A518" s="13">
        <v>51.6</v>
      </c>
      <c r="B518" s="13">
        <f t="shared" si="0"/>
        <v>0.86747945931619375</v>
      </c>
      <c r="C518" s="13">
        <f>IF(B518&gt;=$S$2, A518, "")</f>
        <v>51.6</v>
      </c>
      <c r="D518" s="13" t="str">
        <f>IF(AND(B518=1, B518&gt;=$S$2), A518, "")</f>
        <v/>
      </c>
      <c r="E518" s="13">
        <f>IF(B518&gt;=$S$2, B518, 0)</f>
        <v>0.86747945931619375</v>
      </c>
      <c r="F518" s="13">
        <f t="shared" si="1"/>
        <v>4.4761940100716231</v>
      </c>
      <c r="G518" s="13">
        <f t="shared" si="2"/>
        <v>8.6747945931620607E-2</v>
      </c>
      <c r="H518" s="13">
        <f>IF(B518&gt;=$T$2, A518, "")</f>
        <v>51.6</v>
      </c>
      <c r="I518" s="14">
        <f t="shared" si="19"/>
        <v>0.86747945931619375</v>
      </c>
      <c r="J518" s="14">
        <v>0.5</v>
      </c>
      <c r="K518" s="14">
        <f t="shared" si="20"/>
        <v>0.86747945931619375</v>
      </c>
      <c r="L518" s="14">
        <v>0.4</v>
      </c>
      <c r="N518" s="4"/>
      <c r="O518" s="4"/>
      <c r="P518" s="5"/>
      <c r="Q518" s="1"/>
      <c r="R518" s="2"/>
      <c r="S518" s="2"/>
      <c r="T518" s="1"/>
      <c r="U518" s="2"/>
      <c r="V518" s="2"/>
      <c r="W518" s="2"/>
    </row>
    <row r="519" spans="1:23">
      <c r="A519" s="13">
        <v>51.7</v>
      </c>
      <c r="B519" s="13">
        <f t="shared" si="0"/>
        <v>0.85919692552345572</v>
      </c>
      <c r="C519" s="13">
        <f>IF(B519&gt;=$S$2, A519, "")</f>
        <v>51.7</v>
      </c>
      <c r="D519" s="13" t="str">
        <f>IF(AND(B519=1, B519&gt;=$S$2), A519, "")</f>
        <v/>
      </c>
      <c r="E519" s="13">
        <f>IF(B519&gt;=$S$2, B519, 0)</f>
        <v>0.85919692552345572</v>
      </c>
      <c r="F519" s="13">
        <f t="shared" si="1"/>
        <v>4.4420481049560134</v>
      </c>
      <c r="G519" s="13">
        <f t="shared" si="2"/>
        <v>8.5919692552340693E-2</v>
      </c>
      <c r="H519" s="13">
        <f>IF(B519&gt;=$T$2, A519, "")</f>
        <v>51.7</v>
      </c>
      <c r="I519" s="14">
        <f t="shared" si="19"/>
        <v>0.85919692552345572</v>
      </c>
      <c r="J519" s="14">
        <v>0.5</v>
      </c>
      <c r="K519" s="14">
        <f t="shared" si="20"/>
        <v>0.85919692552345572</v>
      </c>
      <c r="L519" s="14">
        <v>0.4</v>
      </c>
      <c r="N519" s="4"/>
      <c r="O519" s="4"/>
      <c r="P519" s="5"/>
      <c r="Q519" s="1"/>
      <c r="R519" s="2"/>
      <c r="S519" s="2"/>
      <c r="T519" s="1"/>
      <c r="U519" s="2"/>
      <c r="V519" s="2"/>
      <c r="W519" s="2"/>
    </row>
    <row r="520" spans="1:23">
      <c r="A520" s="13">
        <v>51.8</v>
      </c>
      <c r="B520" s="13">
        <f t="shared" si="0"/>
        <v>0.85091439173071837</v>
      </c>
      <c r="C520" s="13">
        <f>IF(B520&gt;=$S$2, A520, "")</f>
        <v>51.8</v>
      </c>
      <c r="D520" s="13" t="str">
        <f>IF(AND(B520=1, B520&gt;=$S$2), A520, "")</f>
        <v/>
      </c>
      <c r="E520" s="13">
        <f>IF(B520&gt;=$S$2, B520, 0)</f>
        <v>0.85091439173071837</v>
      </c>
      <c r="F520" s="13">
        <f t="shared" si="1"/>
        <v>4.4077365491651834</v>
      </c>
      <c r="G520" s="13">
        <f t="shared" si="2"/>
        <v>8.5091439173073047E-2</v>
      </c>
      <c r="H520" s="13">
        <f>IF(B520&gt;=$T$2, A520, "")</f>
        <v>51.8</v>
      </c>
      <c r="I520" s="14">
        <f t="shared" si="19"/>
        <v>0.85091439173071837</v>
      </c>
      <c r="J520" s="14">
        <v>0.5</v>
      </c>
      <c r="K520" s="14">
        <f t="shared" si="20"/>
        <v>0.85091439173071837</v>
      </c>
      <c r="L520" s="14">
        <v>0.4</v>
      </c>
      <c r="N520" s="4"/>
      <c r="O520" s="4"/>
      <c r="P520" s="5"/>
      <c r="Q520" s="1"/>
      <c r="R520" s="2"/>
      <c r="S520" s="2"/>
      <c r="T520" s="1"/>
      <c r="U520" s="2"/>
      <c r="V520" s="2"/>
      <c r="W520" s="2"/>
    </row>
    <row r="521" spans="1:23">
      <c r="A521" s="13">
        <v>51.9</v>
      </c>
      <c r="B521" s="13">
        <f t="shared" si="0"/>
        <v>0.84263185793798034</v>
      </c>
      <c r="C521" s="13">
        <f>IF(B521&gt;=$S$2, A521, "")</f>
        <v>51.9</v>
      </c>
      <c r="D521" s="13" t="str">
        <f>IF(AND(B521=1, B521&gt;=$S$2), A521, "")</f>
        <v/>
      </c>
      <c r="E521" s="13">
        <f>IF(B521&gt;=$S$2, B521, 0)</f>
        <v>0.84263185793798034</v>
      </c>
      <c r="F521" s="13">
        <f t="shared" si="1"/>
        <v>4.3732593426981801</v>
      </c>
      <c r="G521" s="13">
        <f t="shared" si="2"/>
        <v>8.4263185793799225E-2</v>
      </c>
      <c r="H521" s="13">
        <f>IF(B521&gt;=$T$2, A521, "")</f>
        <v>51.9</v>
      </c>
      <c r="I521" s="14">
        <f t="shared" si="19"/>
        <v>0.84263185793798034</v>
      </c>
      <c r="J521" s="14">
        <v>0.5</v>
      </c>
      <c r="K521" s="14">
        <f t="shared" si="20"/>
        <v>0.84263185793798034</v>
      </c>
      <c r="L521" s="14">
        <v>0.4</v>
      </c>
      <c r="N521" s="4"/>
      <c r="O521" s="4"/>
      <c r="P521" s="5"/>
      <c r="Q521" s="1"/>
      <c r="R521" s="2"/>
      <c r="S521" s="2"/>
      <c r="T521" s="1"/>
      <c r="U521" s="2"/>
      <c r="V521" s="2"/>
      <c r="W521" s="2"/>
    </row>
    <row r="522" spans="1:23">
      <c r="A522" s="13">
        <v>52</v>
      </c>
      <c r="B522" s="13">
        <f t="shared" si="0"/>
        <v>0.83434932414524232</v>
      </c>
      <c r="C522" s="13">
        <f>IF(B522&gt;=$S$2, A522, "")</f>
        <v>52</v>
      </c>
      <c r="D522" s="13" t="str">
        <f>IF(AND(B522=1, B522&gt;=$S$2), A522, "")</f>
        <v/>
      </c>
      <c r="E522" s="13">
        <f>IF(B522&gt;=$S$2, B522, 0)</f>
        <v>0.83434932414524232</v>
      </c>
      <c r="F522" s="13">
        <f t="shared" si="1"/>
        <v>4.3386164855553213</v>
      </c>
      <c r="G522" s="13">
        <f t="shared" si="2"/>
        <v>8.3434932414525417E-2</v>
      </c>
      <c r="H522" s="13">
        <f>IF(B522&gt;=$T$2, A522, "")</f>
        <v>52</v>
      </c>
      <c r="I522" s="14">
        <f t="shared" si="19"/>
        <v>0.83434932414524232</v>
      </c>
      <c r="J522" s="14">
        <v>0.5</v>
      </c>
      <c r="K522" s="14">
        <f t="shared" si="20"/>
        <v>0.83434932414524232</v>
      </c>
      <c r="L522" s="14">
        <v>0.4</v>
      </c>
      <c r="N522" s="4"/>
      <c r="O522" s="4"/>
      <c r="P522" s="5"/>
      <c r="Q522" s="1"/>
      <c r="R522" s="2"/>
      <c r="S522" s="2"/>
      <c r="T522" s="1"/>
      <c r="U522" s="2"/>
      <c r="V522" s="2"/>
      <c r="W522" s="2"/>
    </row>
    <row r="523" spans="1:23">
      <c r="A523" s="13">
        <v>52.1</v>
      </c>
      <c r="B523" s="13">
        <f t="shared" si="0"/>
        <v>0.82606679035250441</v>
      </c>
      <c r="C523" s="13">
        <f>IF(B523&gt;=$S$2, A523, "")</f>
        <v>52.1</v>
      </c>
      <c r="D523" s="13" t="str">
        <f>IF(AND(B523=1, B523&gt;=$S$2), A523, "")</f>
        <v/>
      </c>
      <c r="E523" s="13">
        <f>IF(B523&gt;=$S$2, B523, 0)</f>
        <v>0.82606679035250441</v>
      </c>
      <c r="F523" s="13">
        <f t="shared" si="1"/>
        <v>4.3038079777366089</v>
      </c>
      <c r="G523" s="13">
        <f t="shared" si="2"/>
        <v>8.2606679035251609E-2</v>
      </c>
      <c r="H523" s="13">
        <f>IF(B523&gt;=$T$2, A523, "")</f>
        <v>52.1</v>
      </c>
      <c r="I523" s="14">
        <f t="shared" si="19"/>
        <v>0.82606679035250441</v>
      </c>
      <c r="J523" s="14">
        <v>0.5</v>
      </c>
      <c r="K523" s="14">
        <f t="shared" si="20"/>
        <v>0.82606679035250441</v>
      </c>
      <c r="L523" s="14">
        <v>0.4</v>
      </c>
      <c r="N523" s="4"/>
      <c r="O523" s="4"/>
      <c r="P523" s="5"/>
      <c r="Q523" s="1"/>
      <c r="R523" s="2"/>
      <c r="S523" s="2"/>
      <c r="T523" s="1"/>
      <c r="U523" s="2"/>
      <c r="V523" s="2"/>
      <c r="W523" s="2"/>
    </row>
    <row r="524" spans="1:23">
      <c r="A524" s="13">
        <v>52.2</v>
      </c>
      <c r="B524" s="13">
        <f t="shared" si="0"/>
        <v>0.81778425655976639</v>
      </c>
      <c r="C524" s="13">
        <f>IF(B524&gt;=$S$2, A524, "")</f>
        <v>52.2</v>
      </c>
      <c r="D524" s="13" t="str">
        <f>IF(AND(B524=1, B524&gt;=$S$2), A524, "")</f>
        <v/>
      </c>
      <c r="E524" s="13">
        <f>IF(B524&gt;=$S$2, B524, 0)</f>
        <v>0.81778425655976639</v>
      </c>
      <c r="F524" s="13">
        <f t="shared" si="1"/>
        <v>4.2688338192417383</v>
      </c>
      <c r="G524" s="13">
        <f t="shared" si="2"/>
        <v>8.1778425655971987E-2</v>
      </c>
      <c r="H524" s="13">
        <f>IF(B524&gt;=$T$2, A524, "")</f>
        <v>52.2</v>
      </c>
      <c r="I524" s="14">
        <f t="shared" si="19"/>
        <v>0.81778425655976639</v>
      </c>
      <c r="J524" s="14">
        <v>0.5</v>
      </c>
      <c r="K524" s="14">
        <f t="shared" si="20"/>
        <v>0.81778425655976639</v>
      </c>
      <c r="L524" s="14">
        <v>0.4</v>
      </c>
      <c r="N524" s="4"/>
      <c r="O524" s="4"/>
      <c r="P524" s="5"/>
      <c r="Q524" s="1"/>
      <c r="R524" s="2"/>
      <c r="S524" s="2"/>
      <c r="T524" s="1"/>
      <c r="U524" s="2"/>
      <c r="V524" s="2"/>
      <c r="W524" s="2"/>
    </row>
    <row r="525" spans="1:23">
      <c r="A525" s="13">
        <v>52.3</v>
      </c>
      <c r="B525" s="13">
        <f t="shared" si="0"/>
        <v>0.80950172276702903</v>
      </c>
      <c r="C525" s="13">
        <f>IF(B525&gt;=$S$2, A525, "")</f>
        <v>52.3</v>
      </c>
      <c r="D525" s="13" t="str">
        <f>IF(AND(B525=1, B525&gt;=$S$2), A525, "")</f>
        <v/>
      </c>
      <c r="E525" s="13">
        <f>IF(B525&gt;=$S$2, B525, 0)</f>
        <v>0.80950172276702903</v>
      </c>
      <c r="F525" s="13">
        <f t="shared" si="1"/>
        <v>4.2336940100716216</v>
      </c>
      <c r="G525" s="13">
        <f t="shared" si="2"/>
        <v>8.0950172276704049E-2</v>
      </c>
      <c r="H525" s="13">
        <f>IF(B525&gt;=$T$2, A525, "")</f>
        <v>52.3</v>
      </c>
      <c r="I525" s="14">
        <f t="shared" si="19"/>
        <v>0.80950172276702903</v>
      </c>
      <c r="J525" s="14">
        <v>0.5</v>
      </c>
      <c r="K525" s="14">
        <f t="shared" si="20"/>
        <v>0.80950172276702903</v>
      </c>
      <c r="L525" s="14">
        <v>0.4</v>
      </c>
      <c r="N525" s="4"/>
      <c r="O525" s="4"/>
      <c r="P525" s="5"/>
      <c r="Q525" s="1"/>
      <c r="R525" s="2"/>
      <c r="S525" s="2"/>
      <c r="T525" s="1"/>
      <c r="U525" s="2"/>
      <c r="V525" s="2"/>
      <c r="W525" s="2"/>
    </row>
    <row r="526" spans="1:23">
      <c r="A526" s="13">
        <v>52.4</v>
      </c>
      <c r="B526" s="13">
        <f t="shared" si="0"/>
        <v>0.80121918897429101</v>
      </c>
      <c r="C526" s="13">
        <f>IF(B526&gt;=$S$2, A526, "")</f>
        <v>52.4</v>
      </c>
      <c r="D526" s="13" t="str">
        <f>IF(AND(B526=1, B526&gt;=$S$2), A526, "")</f>
        <v/>
      </c>
      <c r="E526" s="13">
        <f>IF(B526&gt;=$S$2, B526, 0)</f>
        <v>0.80121918897429101</v>
      </c>
      <c r="F526" s="13">
        <f t="shared" si="1"/>
        <v>4.198388550225344</v>
      </c>
      <c r="G526" s="13">
        <f t="shared" si="2"/>
        <v>8.0121918897430242E-2</v>
      </c>
      <c r="H526" s="13">
        <f>IF(B526&gt;=$T$2, A526, "")</f>
        <v>52.4</v>
      </c>
      <c r="I526" s="14">
        <f t="shared" si="19"/>
        <v>0.80121918897429101</v>
      </c>
      <c r="J526" s="14">
        <v>0.5</v>
      </c>
      <c r="K526" s="14">
        <f t="shared" si="20"/>
        <v>0.80121918897429101</v>
      </c>
      <c r="L526" s="14">
        <v>0.4</v>
      </c>
      <c r="N526" s="4"/>
      <c r="O526" s="4"/>
      <c r="P526" s="5"/>
      <c r="Q526" s="1"/>
      <c r="R526" s="2"/>
      <c r="S526" s="2"/>
      <c r="T526" s="1"/>
      <c r="U526" s="2"/>
      <c r="V526" s="2"/>
      <c r="W526" s="2"/>
    </row>
    <row r="527" spans="1:23">
      <c r="A527" s="13">
        <v>52.5</v>
      </c>
      <c r="B527" s="13">
        <f t="shared" si="0"/>
        <v>0.79293665518155299</v>
      </c>
      <c r="C527" s="13">
        <f>IF(B527&gt;=$S$2, A527, "")</f>
        <v>52.5</v>
      </c>
      <c r="D527" s="13" t="str">
        <f>IF(AND(B527=1, B527&gt;=$S$2), A527, "")</f>
        <v/>
      </c>
      <c r="E527" s="13">
        <f>IF(B527&gt;=$S$2, B527, 0)</f>
        <v>0.79293665518155299</v>
      </c>
      <c r="F527" s="13">
        <f t="shared" si="1"/>
        <v>4.1629174397032127</v>
      </c>
      <c r="G527" s="13">
        <f t="shared" si="2"/>
        <v>7.929366551815642E-2</v>
      </c>
      <c r="H527" s="13">
        <f>IF(B527&gt;=$T$2, A527, "")</f>
        <v>52.5</v>
      </c>
      <c r="I527" s="14">
        <f t="shared" si="19"/>
        <v>0.79293665518155299</v>
      </c>
      <c r="J527" s="14">
        <v>0.5</v>
      </c>
      <c r="K527" s="14">
        <f t="shared" si="20"/>
        <v>0.79293665518155299</v>
      </c>
      <c r="L527" s="14">
        <v>0.4</v>
      </c>
      <c r="N527" s="4"/>
      <c r="O527" s="4"/>
      <c r="P527" s="5"/>
      <c r="Q527" s="1"/>
      <c r="R527" s="2"/>
      <c r="S527" s="2"/>
      <c r="T527" s="1"/>
      <c r="U527" s="2"/>
      <c r="V527" s="2"/>
      <c r="W527" s="2"/>
    </row>
    <row r="528" spans="1:23">
      <c r="A528" s="13">
        <v>52.6</v>
      </c>
      <c r="B528" s="13">
        <f t="shared" si="0"/>
        <v>0.78465412138881496</v>
      </c>
      <c r="C528" s="13">
        <f>IF(B528&gt;=$S$2, A528, "")</f>
        <v>52.6</v>
      </c>
      <c r="D528" s="13" t="str">
        <f>IF(AND(B528=1, B528&gt;=$S$2), A528, "")</f>
        <v/>
      </c>
      <c r="E528" s="13">
        <f>IF(B528&gt;=$S$2, B528, 0)</f>
        <v>0.78465412138881496</v>
      </c>
      <c r="F528" s="13">
        <f t="shared" si="1"/>
        <v>4.1272806785052261</v>
      </c>
      <c r="G528" s="13">
        <f t="shared" si="2"/>
        <v>7.8465412138882612E-2</v>
      </c>
      <c r="H528" s="13">
        <f>IF(B528&gt;=$T$2, A528, "")</f>
        <v>52.6</v>
      </c>
      <c r="I528" s="14">
        <f t="shared" si="19"/>
        <v>0.78465412138881496</v>
      </c>
      <c r="J528" s="14">
        <v>0.5</v>
      </c>
      <c r="K528" s="14">
        <f t="shared" si="20"/>
        <v>0.78465412138881496</v>
      </c>
      <c r="L528" s="14">
        <v>0.4</v>
      </c>
      <c r="N528" s="4"/>
      <c r="O528" s="4"/>
      <c r="P528" s="5"/>
      <c r="Q528" s="1"/>
      <c r="R528" s="2"/>
      <c r="S528" s="2"/>
      <c r="T528" s="1"/>
      <c r="U528" s="2"/>
      <c r="V528" s="2"/>
      <c r="W528" s="2"/>
    </row>
    <row r="529" spans="1:23">
      <c r="A529" s="13">
        <v>52.7</v>
      </c>
      <c r="B529" s="13">
        <f t="shared" si="0"/>
        <v>0.77637158759607705</v>
      </c>
      <c r="C529" s="13">
        <f>IF(B529&gt;=$S$2, A529, "")</f>
        <v>52.7</v>
      </c>
      <c r="D529" s="13" t="str">
        <f>IF(AND(B529=1, B529&gt;=$S$2), A529, "")</f>
        <v/>
      </c>
      <c r="E529" s="13">
        <f>IF(B529&gt;=$S$2, B529, 0)</f>
        <v>0.77637158759607705</v>
      </c>
      <c r="F529" s="13">
        <f t="shared" si="1"/>
        <v>4.0914782666310936</v>
      </c>
      <c r="G529" s="13">
        <f t="shared" si="2"/>
        <v>7.7637158759603295E-2</v>
      </c>
      <c r="H529" s="13">
        <f>IF(B529&gt;=$T$2, A529, "")</f>
        <v>52.7</v>
      </c>
      <c r="I529" s="14">
        <f t="shared" si="19"/>
        <v>0.77637158759607705</v>
      </c>
      <c r="J529" s="14">
        <v>0.5</v>
      </c>
      <c r="K529" s="14">
        <f t="shared" si="20"/>
        <v>0.77637158759607705</v>
      </c>
      <c r="L529" s="14">
        <v>0.4</v>
      </c>
      <c r="N529" s="4"/>
      <c r="O529" s="4"/>
      <c r="P529" s="5"/>
      <c r="Q529" s="1"/>
      <c r="R529" s="2"/>
      <c r="S529" s="2"/>
      <c r="T529" s="1"/>
      <c r="U529" s="2"/>
      <c r="V529" s="2"/>
      <c r="W529" s="2"/>
    </row>
    <row r="530" spans="1:23">
      <c r="A530" s="13">
        <v>52.8</v>
      </c>
      <c r="B530" s="13">
        <f t="shared" si="0"/>
        <v>0.76808905380333958</v>
      </c>
      <c r="C530" s="13">
        <f>IF(B530&gt;=$S$2, A530, "")</f>
        <v>52.8</v>
      </c>
      <c r="D530" s="13" t="str">
        <f>IF(AND(B530=1, B530&gt;=$S$2), A530, "")</f>
        <v/>
      </c>
      <c r="E530" s="13">
        <f>IF(B530&gt;=$S$2, B530, 0)</f>
        <v>0.76808905380333958</v>
      </c>
      <c r="F530" s="13">
        <f t="shared" si="1"/>
        <v>4.0555102040816902</v>
      </c>
      <c r="G530" s="13">
        <f t="shared" si="2"/>
        <v>7.6808905380335052E-2</v>
      </c>
      <c r="H530" s="13">
        <f>IF(B530&gt;=$T$2, A530, "")</f>
        <v>52.8</v>
      </c>
      <c r="I530" s="14">
        <f t="shared" si="19"/>
        <v>0.76808905380333958</v>
      </c>
      <c r="J530" s="14">
        <v>0.5</v>
      </c>
      <c r="K530" s="14">
        <f t="shared" si="20"/>
        <v>0.76808905380333958</v>
      </c>
      <c r="L530" s="14">
        <v>0.4</v>
      </c>
      <c r="N530" s="4"/>
      <c r="O530" s="4"/>
      <c r="P530" s="5"/>
      <c r="Q530" s="1"/>
      <c r="R530" s="2"/>
      <c r="S530" s="2"/>
      <c r="T530" s="1"/>
      <c r="U530" s="2"/>
      <c r="V530" s="2"/>
      <c r="W530" s="2"/>
    </row>
    <row r="531" spans="1:23">
      <c r="A531" s="13">
        <v>52.9</v>
      </c>
      <c r="B531" s="13">
        <f t="shared" si="0"/>
        <v>0.75980652001060167</v>
      </c>
      <c r="C531" s="13">
        <f>IF(B531&gt;=$S$2, A531, "")</f>
        <v>52.9</v>
      </c>
      <c r="D531" s="13" t="str">
        <f>IF(AND(B531=1, B531&gt;=$S$2), A531, "")</f>
        <v/>
      </c>
      <c r="E531" s="13">
        <f>IF(B531&gt;=$S$2, B531, 0)</f>
        <v>0.75980652001060167</v>
      </c>
      <c r="F531" s="13">
        <f t="shared" si="1"/>
        <v>4.01937649085614</v>
      </c>
      <c r="G531" s="13">
        <f t="shared" si="2"/>
        <v>7.5980652001061244E-2</v>
      </c>
      <c r="H531" s="13">
        <f>IF(B531&gt;=$T$2, A531, "")</f>
        <v>52.9</v>
      </c>
      <c r="I531" s="14">
        <f t="shared" si="19"/>
        <v>0.75980652001060167</v>
      </c>
      <c r="J531" s="14">
        <v>0.5</v>
      </c>
      <c r="K531" s="14">
        <f t="shared" si="20"/>
        <v>0.75980652001060167</v>
      </c>
      <c r="L531" s="14">
        <v>0.4</v>
      </c>
      <c r="N531" s="4"/>
      <c r="O531" s="4"/>
      <c r="P531" s="5"/>
      <c r="Q531" s="1"/>
      <c r="R531" s="2"/>
      <c r="S531" s="2"/>
      <c r="T531" s="1"/>
      <c r="U531" s="2"/>
      <c r="V531" s="2"/>
      <c r="W531" s="2"/>
    </row>
    <row r="532" spans="1:23">
      <c r="A532" s="13">
        <v>53</v>
      </c>
      <c r="B532" s="13">
        <f t="shared" si="0"/>
        <v>0.75152398621786365</v>
      </c>
      <c r="C532" s="13">
        <f>IF(B532&gt;=$S$2, A532, "")</f>
        <v>53</v>
      </c>
      <c r="D532" s="13" t="str">
        <f>IF(AND(B532=1, B532&gt;=$S$2), A532, "")</f>
        <v/>
      </c>
      <c r="E532" s="13">
        <f>IF(B532&gt;=$S$2, B532, 0)</f>
        <v>0.75152398621786365</v>
      </c>
      <c r="F532" s="13">
        <f t="shared" si="1"/>
        <v>3.983077126954734</v>
      </c>
      <c r="G532" s="13">
        <f t="shared" si="2"/>
        <v>7.5152398621787436E-2</v>
      </c>
      <c r="H532" s="13">
        <f>IF(B532&gt;=$T$2, A532, "")</f>
        <v>53</v>
      </c>
      <c r="I532" s="14">
        <f t="shared" si="19"/>
        <v>0.75152398621786365</v>
      </c>
      <c r="J532" s="14">
        <v>0.5</v>
      </c>
      <c r="K532" s="14">
        <f t="shared" si="20"/>
        <v>0.75152398621786365</v>
      </c>
      <c r="L532" s="14">
        <v>0.4</v>
      </c>
      <c r="N532" s="4"/>
      <c r="O532" s="4"/>
      <c r="P532" s="5"/>
      <c r="Q532" s="1"/>
      <c r="R532" s="2"/>
      <c r="S532" s="2"/>
      <c r="T532" s="1"/>
      <c r="U532" s="2"/>
      <c r="V532" s="2"/>
      <c r="W532" s="2"/>
    </row>
    <row r="533" spans="1:23">
      <c r="A533" s="13">
        <v>53.1</v>
      </c>
      <c r="B533" s="13">
        <f t="shared" si="0"/>
        <v>0.74324145242512563</v>
      </c>
      <c r="C533" s="13">
        <f>IF(B533&gt;=$S$2, A533, "")</f>
        <v>53.1</v>
      </c>
      <c r="D533" s="13" t="str">
        <f>IF(AND(B533=1, B533&gt;=$S$2), A533, "")</f>
        <v/>
      </c>
      <c r="E533" s="13">
        <f>IF(B533&gt;=$S$2, B533, 0)</f>
        <v>0.74324145242512563</v>
      </c>
      <c r="F533" s="13">
        <f t="shared" si="1"/>
        <v>3.9466121123774731</v>
      </c>
      <c r="G533" s="13">
        <f t="shared" si="2"/>
        <v>7.4324145242513615E-2</v>
      </c>
      <c r="H533" s="13">
        <f>IF(B533&gt;=$T$2, A533, "")</f>
        <v>53.1</v>
      </c>
      <c r="I533" s="14">
        <f t="shared" si="19"/>
        <v>0.74324145242512563</v>
      </c>
      <c r="J533" s="14">
        <v>0.5</v>
      </c>
      <c r="K533" s="14">
        <f t="shared" si="20"/>
        <v>0.74324145242512563</v>
      </c>
      <c r="L533" s="14">
        <v>0.4</v>
      </c>
      <c r="N533" s="4"/>
      <c r="O533" s="4"/>
      <c r="P533" s="5"/>
      <c r="Q533" s="1"/>
      <c r="R533" s="2"/>
      <c r="S533" s="2"/>
      <c r="T533" s="1"/>
      <c r="U533" s="2"/>
      <c r="V533" s="2"/>
      <c r="W533" s="2"/>
    </row>
    <row r="534" spans="1:23">
      <c r="A534" s="13">
        <v>53.2</v>
      </c>
      <c r="B534" s="13">
        <f t="shared" si="0"/>
        <v>0.7349589186323876</v>
      </c>
      <c r="C534" s="13">
        <f>IF(B534&gt;=$S$2, A534, "")</f>
        <v>53.2</v>
      </c>
      <c r="D534" s="13" t="str">
        <f>IF(AND(B534=1, B534&gt;=$S$2), A534, "")</f>
        <v/>
      </c>
      <c r="E534" s="13">
        <f>IF(B534&gt;=$S$2, B534, 0)</f>
        <v>0.7349589186323876</v>
      </c>
      <c r="F534" s="13">
        <f t="shared" si="1"/>
        <v>3.9099814471240801</v>
      </c>
      <c r="G534" s="13">
        <f t="shared" si="2"/>
        <v>7.3495891863234589E-2</v>
      </c>
      <c r="H534" s="13">
        <f>IF(B534&gt;=$T$2, A534, "")</f>
        <v>53.2</v>
      </c>
      <c r="I534" s="14">
        <f t="shared" si="19"/>
        <v>0.7349589186323876</v>
      </c>
      <c r="J534" s="14">
        <v>0.5</v>
      </c>
      <c r="K534" s="14">
        <f t="shared" si="20"/>
        <v>0.7349589186323876</v>
      </c>
      <c r="L534" s="14">
        <v>0.4</v>
      </c>
      <c r="N534" s="4"/>
      <c r="O534" s="4"/>
      <c r="P534" s="5"/>
      <c r="Q534" s="1"/>
      <c r="R534" s="2"/>
      <c r="S534" s="2"/>
      <c r="T534" s="1"/>
      <c r="U534" s="2"/>
      <c r="V534" s="2"/>
      <c r="W534" s="2"/>
    </row>
    <row r="535" spans="1:23">
      <c r="A535" s="13">
        <v>53.3</v>
      </c>
      <c r="B535" s="13">
        <f t="shared" si="0"/>
        <v>0.72667638483965025</v>
      </c>
      <c r="C535" s="13">
        <f>IF(B535&gt;=$S$2, A535, "")</f>
        <v>53.3</v>
      </c>
      <c r="D535" s="13" t="str">
        <f>IF(AND(B535=1, B535&gt;=$S$2), A535, "")</f>
        <v/>
      </c>
      <c r="E535" s="13">
        <f>IF(B535&gt;=$S$2, B535, 0)</f>
        <v>0.72667638483965025</v>
      </c>
      <c r="F535" s="13">
        <f t="shared" si="1"/>
        <v>3.8731851311953909</v>
      </c>
      <c r="G535" s="13">
        <f t="shared" si="2"/>
        <v>7.2667638483966054E-2</v>
      </c>
      <c r="H535" s="13">
        <f>IF(B535&gt;=$T$2, A535, "")</f>
        <v>53.3</v>
      </c>
      <c r="I535" s="14">
        <f t="shared" si="19"/>
        <v>0.72667638483965025</v>
      </c>
      <c r="J535" s="14">
        <v>0.5</v>
      </c>
      <c r="K535" s="14">
        <f t="shared" si="20"/>
        <v>0.72667638483965025</v>
      </c>
      <c r="L535" s="14">
        <v>0.4</v>
      </c>
      <c r="N535" s="4"/>
      <c r="O535" s="4"/>
      <c r="P535" s="5"/>
      <c r="Q535" s="1"/>
      <c r="R535" s="2"/>
      <c r="S535" s="2"/>
      <c r="T535" s="1"/>
      <c r="U535" s="2"/>
      <c r="V535" s="2"/>
      <c r="W535" s="2"/>
    </row>
    <row r="536" spans="1:23">
      <c r="A536" s="13">
        <v>53.4</v>
      </c>
      <c r="B536" s="13">
        <f t="shared" si="0"/>
        <v>0.71839385104691222</v>
      </c>
      <c r="C536" s="13">
        <f>IF(B536&gt;=$S$2, A536, "")</f>
        <v>53.4</v>
      </c>
      <c r="D536" s="13" t="str">
        <f>IF(AND(B536=1, B536&gt;=$S$2), A536, "")</f>
        <v/>
      </c>
      <c r="E536" s="13">
        <f>IF(B536&gt;=$S$2, B536, 0)</f>
        <v>0.71839385104691222</v>
      </c>
      <c r="F536" s="13">
        <f t="shared" si="1"/>
        <v>3.8362231645905656</v>
      </c>
      <c r="G536" s="13">
        <f t="shared" si="2"/>
        <v>7.1839385104692247E-2</v>
      </c>
      <c r="H536" s="13">
        <f>IF(B536&gt;=$T$2, A536, "")</f>
        <v>53.4</v>
      </c>
      <c r="I536" s="14">
        <f t="shared" si="19"/>
        <v>0.71839385104691222</v>
      </c>
      <c r="J536" s="14">
        <v>0.5</v>
      </c>
      <c r="K536" s="14">
        <f t="shared" si="20"/>
        <v>0.71839385104691222</v>
      </c>
      <c r="L536" s="14">
        <v>0.4</v>
      </c>
      <c r="N536" s="4"/>
      <c r="O536" s="4"/>
      <c r="P536" s="5"/>
      <c r="Q536" s="1"/>
      <c r="R536" s="2"/>
      <c r="S536" s="2"/>
      <c r="T536" s="1"/>
      <c r="U536" s="2"/>
      <c r="V536" s="2"/>
      <c r="W536" s="2"/>
    </row>
    <row r="537" spans="1:23">
      <c r="A537" s="13">
        <v>53.5</v>
      </c>
      <c r="B537" s="13">
        <f t="shared" si="0"/>
        <v>0.71011131725417431</v>
      </c>
      <c r="C537" s="13">
        <f>IF(B537&gt;=$S$2, A537, "")</f>
        <v>53.5</v>
      </c>
      <c r="D537" s="13" t="str">
        <f>IF(AND(B537=1, B537&gt;=$S$2), A537, "")</f>
        <v/>
      </c>
      <c r="E537" s="13">
        <f>IF(B537&gt;=$S$2, B537, 0)</f>
        <v>0.71011131725417431</v>
      </c>
      <c r="F537" s="13">
        <f t="shared" si="1"/>
        <v>3.7990955473098866</v>
      </c>
      <c r="G537" s="13">
        <f t="shared" si="2"/>
        <v>7.1011131725418439E-2</v>
      </c>
      <c r="H537" s="13">
        <f>IF(B537&gt;=$T$2, A537, "")</f>
        <v>53.5</v>
      </c>
      <c r="I537" s="14">
        <f t="shared" si="19"/>
        <v>0.71011131725417431</v>
      </c>
      <c r="J537" s="14">
        <v>0.5</v>
      </c>
      <c r="K537" s="14">
        <f t="shared" si="20"/>
        <v>0.71011131725417431</v>
      </c>
      <c r="L537" s="14">
        <v>0.4</v>
      </c>
      <c r="N537" s="4"/>
      <c r="O537" s="4"/>
      <c r="P537" s="5"/>
      <c r="Q537" s="1"/>
      <c r="R537" s="2"/>
      <c r="S537" s="2"/>
      <c r="T537" s="1"/>
      <c r="U537" s="2"/>
      <c r="V537" s="2"/>
      <c r="W537" s="2"/>
    </row>
    <row r="538" spans="1:23">
      <c r="A538" s="13">
        <v>53.6</v>
      </c>
      <c r="B538" s="13">
        <f t="shared" si="0"/>
        <v>0.70182878346143629</v>
      </c>
      <c r="C538" s="13">
        <f>IF(B538&gt;=$S$2, A538, "")</f>
        <v>53.6</v>
      </c>
      <c r="D538" s="13" t="str">
        <f>IF(AND(B538=1, B538&gt;=$S$2), A538, "")</f>
        <v/>
      </c>
      <c r="E538" s="13">
        <f>IF(B538&gt;=$S$2, B538, 0)</f>
        <v>0.70182878346143629</v>
      </c>
      <c r="F538" s="13">
        <f t="shared" si="1"/>
        <v>3.7618022793533523</v>
      </c>
      <c r="G538" s="13">
        <f t="shared" si="2"/>
        <v>7.0182878346144631E-2</v>
      </c>
      <c r="H538" s="13">
        <f>IF(B538&gt;=$T$2, A538, "")</f>
        <v>53.6</v>
      </c>
      <c r="I538" s="14">
        <f t="shared" si="19"/>
        <v>0.70182878346143629</v>
      </c>
      <c r="J538" s="14">
        <v>0.5</v>
      </c>
      <c r="K538" s="14">
        <f t="shared" si="20"/>
        <v>0.70182878346143629</v>
      </c>
      <c r="L538" s="14">
        <v>0.4</v>
      </c>
      <c r="N538" s="4"/>
      <c r="O538" s="4"/>
      <c r="P538" s="5"/>
      <c r="Q538" s="1"/>
      <c r="R538" s="2"/>
      <c r="S538" s="2"/>
      <c r="T538" s="1"/>
      <c r="U538" s="2"/>
      <c r="V538" s="2"/>
      <c r="W538" s="2"/>
    </row>
    <row r="539" spans="1:23">
      <c r="A539" s="13">
        <v>53.7</v>
      </c>
      <c r="B539" s="13">
        <f t="shared" si="0"/>
        <v>0.69354624966869827</v>
      </c>
      <c r="C539" s="13">
        <f>IF(B539&gt;=$S$2, A539, "")</f>
        <v>53.7</v>
      </c>
      <c r="D539" s="13" t="str">
        <f>IF(AND(B539=1, B539&gt;=$S$2), A539, "")</f>
        <v/>
      </c>
      <c r="E539" s="13">
        <f>IF(B539&gt;=$S$2, B539, 0)</f>
        <v>0.69354624966869827</v>
      </c>
      <c r="F539" s="13">
        <f t="shared" si="1"/>
        <v>3.7243433607206979</v>
      </c>
      <c r="G539" s="13">
        <f t="shared" si="2"/>
        <v>6.9354624966865883E-2</v>
      </c>
      <c r="H539" s="13">
        <f>IF(B539&gt;=$T$2, A539, "")</f>
        <v>53.7</v>
      </c>
      <c r="I539" s="14">
        <f t="shared" si="19"/>
        <v>0.69354624966869827</v>
      </c>
      <c r="J539" s="14">
        <v>0.5</v>
      </c>
      <c r="K539" s="14">
        <f t="shared" si="20"/>
        <v>0.69354624966869827</v>
      </c>
      <c r="L539" s="14">
        <v>0.4</v>
      </c>
      <c r="N539" s="4"/>
      <c r="O539" s="4"/>
      <c r="P539" s="5"/>
      <c r="Q539" s="1"/>
      <c r="R539" s="2"/>
      <c r="S539" s="2"/>
      <c r="T539" s="1"/>
      <c r="U539" s="2"/>
      <c r="V539" s="2"/>
      <c r="W539" s="2"/>
    </row>
    <row r="540" spans="1:23">
      <c r="A540" s="13">
        <v>53.8</v>
      </c>
      <c r="B540" s="13">
        <f t="shared" si="0"/>
        <v>0.68526371587596091</v>
      </c>
      <c r="C540" s="13">
        <f>IF(B540&gt;=$S$2, A540, "")</f>
        <v>53.8</v>
      </c>
      <c r="D540" s="13" t="str">
        <f>IF(AND(B540=1, B540&gt;=$S$2), A540, "")</f>
        <v/>
      </c>
      <c r="E540" s="13">
        <f>IF(B540&gt;=$S$2, B540, 0)</f>
        <v>0.68526371587596091</v>
      </c>
      <c r="F540" s="13">
        <f t="shared" si="1"/>
        <v>3.686718791412722</v>
      </c>
      <c r="G540" s="13">
        <f t="shared" si="2"/>
        <v>6.8526371587597071E-2</v>
      </c>
      <c r="H540" s="13">
        <f>IF(B540&gt;=$T$2, A540, "")</f>
        <v>53.8</v>
      </c>
      <c r="I540" s="14">
        <f t="shared" si="19"/>
        <v>0.68526371587596091</v>
      </c>
      <c r="J540" s="14">
        <v>0.5</v>
      </c>
      <c r="K540" s="14">
        <f t="shared" si="20"/>
        <v>0.68526371587596091</v>
      </c>
      <c r="L540" s="14">
        <v>0.4</v>
      </c>
      <c r="N540" s="4"/>
      <c r="O540" s="4"/>
      <c r="P540" s="5"/>
      <c r="Q540" s="1"/>
      <c r="R540" s="2"/>
      <c r="S540" s="2"/>
      <c r="T540" s="1"/>
      <c r="U540" s="2"/>
      <c r="V540" s="2"/>
      <c r="W540" s="2"/>
    </row>
    <row r="541" spans="1:23">
      <c r="A541" s="13">
        <v>53.9</v>
      </c>
      <c r="B541" s="13">
        <f t="shared" si="0"/>
        <v>0.67698118208322289</v>
      </c>
      <c r="C541" s="13">
        <f>IF(B541&gt;=$S$2, A541, "")</f>
        <v>53.9</v>
      </c>
      <c r="D541" s="13" t="str">
        <f>IF(AND(B541=1, B541&gt;=$S$2), A541, "")</f>
        <v/>
      </c>
      <c r="E541" s="13">
        <f>IF(B541&gt;=$S$2, B541, 0)</f>
        <v>0.67698118208322289</v>
      </c>
      <c r="F541" s="13">
        <f t="shared" si="1"/>
        <v>3.6489285714286233</v>
      </c>
      <c r="G541" s="13">
        <f t="shared" si="2"/>
        <v>6.7698118208323249E-2</v>
      </c>
      <c r="H541" s="13">
        <f>IF(B541&gt;=$T$2, A541, "")</f>
        <v>53.9</v>
      </c>
      <c r="I541" s="14">
        <f t="shared" si="19"/>
        <v>0.67698118208322289</v>
      </c>
      <c r="J541" s="14">
        <v>0.5</v>
      </c>
      <c r="K541" s="14">
        <f t="shared" si="20"/>
        <v>0.67698118208322289</v>
      </c>
      <c r="L541" s="14">
        <v>0.4</v>
      </c>
      <c r="N541" s="4"/>
      <c r="O541" s="4"/>
      <c r="P541" s="5"/>
      <c r="Q541" s="1"/>
      <c r="R541" s="2"/>
      <c r="S541" s="2"/>
      <c r="T541" s="1"/>
      <c r="U541" s="2"/>
      <c r="V541" s="2"/>
      <c r="W541" s="2"/>
    </row>
    <row r="542" spans="1:23">
      <c r="A542" s="13">
        <v>54</v>
      </c>
      <c r="B542" s="13">
        <f t="shared" si="0"/>
        <v>0.66869864829048486</v>
      </c>
      <c r="C542" s="13">
        <f>IF(B542&gt;=$S$2, A542, "")</f>
        <v>54</v>
      </c>
      <c r="D542" s="13" t="str">
        <f>IF(AND(B542=1, B542&gt;=$S$2), A542, "")</f>
        <v/>
      </c>
      <c r="E542" s="13">
        <f>IF(B542&gt;=$S$2, B542, 0)</f>
        <v>0.66869864829048486</v>
      </c>
      <c r="F542" s="13">
        <f t="shared" si="1"/>
        <v>3.6109727007686696</v>
      </c>
      <c r="G542" s="13">
        <f t="shared" si="2"/>
        <v>6.6869864829049441E-2</v>
      </c>
      <c r="H542" s="13">
        <f>IF(B542&gt;=$T$2, A542, "")</f>
        <v>54</v>
      </c>
      <c r="I542" s="14">
        <f t="shared" si="19"/>
        <v>0.66869864829048486</v>
      </c>
      <c r="J542" s="14">
        <v>0.5</v>
      </c>
      <c r="K542" s="14">
        <f t="shared" si="20"/>
        <v>0.66869864829048486</v>
      </c>
      <c r="L542" s="14">
        <v>0.4</v>
      </c>
      <c r="N542" s="4"/>
      <c r="O542" s="4"/>
      <c r="P542" s="5"/>
      <c r="Q542" s="1"/>
      <c r="R542" s="2"/>
      <c r="S542" s="2"/>
      <c r="T542" s="1"/>
      <c r="U542" s="2"/>
      <c r="V542" s="2"/>
      <c r="W542" s="2"/>
    </row>
    <row r="543" spans="1:23">
      <c r="A543" s="13">
        <v>54.1</v>
      </c>
      <c r="B543" s="13">
        <f t="shared" si="0"/>
        <v>0.66041611449774695</v>
      </c>
      <c r="C543" s="13">
        <f>IF(B543&gt;=$S$2, A543, "")</f>
        <v>54.1</v>
      </c>
      <c r="D543" s="13" t="str">
        <f>IF(AND(B543=1, B543&gt;=$S$2), A543, "")</f>
        <v/>
      </c>
      <c r="E543" s="13">
        <f>IF(B543&gt;=$S$2, B543, 0)</f>
        <v>0.66041611449774695</v>
      </c>
      <c r="F543" s="13">
        <f t="shared" si="1"/>
        <v>3.5728511794328623</v>
      </c>
      <c r="G543" s="13">
        <f t="shared" si="2"/>
        <v>6.6041611449775633E-2</v>
      </c>
      <c r="H543" s="13">
        <f>IF(B543&gt;=$T$2, A543, "")</f>
        <v>54.1</v>
      </c>
      <c r="I543" s="14">
        <f t="shared" si="19"/>
        <v>0.66041611449774695</v>
      </c>
      <c r="J543" s="14">
        <v>0.5</v>
      </c>
      <c r="K543" s="14">
        <f t="shared" si="20"/>
        <v>0.66041611449774695</v>
      </c>
      <c r="L543" s="14">
        <v>0.4</v>
      </c>
      <c r="N543" s="4"/>
      <c r="O543" s="4"/>
      <c r="P543" s="5"/>
      <c r="Q543" s="1"/>
      <c r="R543" s="2"/>
      <c r="S543" s="2"/>
      <c r="T543" s="1"/>
      <c r="U543" s="2"/>
      <c r="V543" s="2"/>
      <c r="W543" s="2"/>
    </row>
    <row r="544" spans="1:23">
      <c r="A544" s="13">
        <v>54.2</v>
      </c>
      <c r="B544" s="13">
        <f t="shared" si="0"/>
        <v>0.65213358070500893</v>
      </c>
      <c r="C544" s="13">
        <f>IF(B544&gt;=$S$2, A544, "")</f>
        <v>54.2</v>
      </c>
      <c r="D544" s="13" t="str">
        <f>IF(AND(B544=1, B544&gt;=$S$2), A544, "")</f>
        <v/>
      </c>
      <c r="E544" s="13">
        <f>IF(B544&gt;=$S$2, B544, 0)</f>
        <v>0.65213358070500893</v>
      </c>
      <c r="F544" s="13">
        <f t="shared" si="1"/>
        <v>3.5345640074209479</v>
      </c>
      <c r="G544" s="13">
        <f t="shared" si="2"/>
        <v>6.521335807049719E-2</v>
      </c>
      <c r="H544" s="13">
        <f>IF(B544&gt;=$T$2, A544, "")</f>
        <v>54.2</v>
      </c>
      <c r="I544" s="14">
        <f t="shared" si="19"/>
        <v>0.65213358070500893</v>
      </c>
      <c r="J544" s="14">
        <v>0.5</v>
      </c>
      <c r="K544" s="14">
        <f t="shared" si="20"/>
        <v>0.65213358070500893</v>
      </c>
      <c r="L544" s="14">
        <v>0.4</v>
      </c>
      <c r="N544" s="4"/>
      <c r="O544" s="4"/>
      <c r="P544" s="5"/>
      <c r="Q544" s="1"/>
      <c r="R544" s="2"/>
      <c r="S544" s="2"/>
      <c r="T544" s="1"/>
      <c r="U544" s="2"/>
      <c r="V544" s="2"/>
      <c r="W544" s="2"/>
    </row>
    <row r="545" spans="1:23">
      <c r="A545" s="13">
        <v>54.3</v>
      </c>
      <c r="B545" s="13">
        <f t="shared" si="0"/>
        <v>0.64385104691227146</v>
      </c>
      <c r="C545" s="13">
        <f>IF(B545&gt;=$S$2, A545, "")</f>
        <v>54.3</v>
      </c>
      <c r="D545" s="13" t="str">
        <f>IF(AND(B545=1, B545&gt;=$S$2), A545, "")</f>
        <v/>
      </c>
      <c r="E545" s="13">
        <f>IF(B545&gt;=$S$2, B545, 0)</f>
        <v>0.64385104691227146</v>
      </c>
      <c r="F545" s="13">
        <f t="shared" si="1"/>
        <v>3.4961111847336839</v>
      </c>
      <c r="G545" s="13">
        <f t="shared" si="2"/>
        <v>6.4385104691228059E-2</v>
      </c>
      <c r="H545" s="13">
        <f>IF(B545&gt;=$T$2, A545, "")</f>
        <v>54.3</v>
      </c>
      <c r="I545" s="14">
        <f t="shared" si="19"/>
        <v>0.64385104691227146</v>
      </c>
      <c r="J545" s="14">
        <v>0.5</v>
      </c>
      <c r="K545" s="14">
        <f t="shared" si="20"/>
        <v>0.64385104691227146</v>
      </c>
      <c r="L545" s="14">
        <v>0.4</v>
      </c>
      <c r="N545" s="4"/>
      <c r="O545" s="4"/>
      <c r="P545" s="5"/>
      <c r="Q545" s="1"/>
      <c r="R545" s="2"/>
      <c r="S545" s="2"/>
      <c r="T545" s="1"/>
      <c r="U545" s="2"/>
      <c r="V545" s="2"/>
      <c r="W545" s="2"/>
    </row>
    <row r="546" spans="1:23">
      <c r="A546" s="13">
        <v>54.4</v>
      </c>
      <c r="B546" s="13">
        <f t="shared" si="0"/>
        <v>0.63556851311953355</v>
      </c>
      <c r="C546" s="13">
        <f>IF(B546&gt;=$S$2, A546, "")</f>
        <v>54.4</v>
      </c>
      <c r="D546" s="13" t="str">
        <f>IF(AND(B546=1, B546&gt;=$S$2), A546, "")</f>
        <v/>
      </c>
      <c r="E546" s="13">
        <f>IF(B546&gt;=$S$2, B546, 0)</f>
        <v>0.63556851311953355</v>
      </c>
      <c r="F546" s="13">
        <f t="shared" si="1"/>
        <v>3.4574927113703113</v>
      </c>
      <c r="G546" s="13">
        <f t="shared" si="2"/>
        <v>6.3556851311954252E-2</v>
      </c>
      <c r="H546" s="13">
        <f>IF(B546&gt;=$T$2, A546, "")</f>
        <v>54.4</v>
      </c>
      <c r="I546" s="14">
        <f t="shared" si="19"/>
        <v>0.63556851311953355</v>
      </c>
      <c r="J546" s="14">
        <v>0.5</v>
      </c>
      <c r="K546" s="14">
        <f t="shared" si="20"/>
        <v>0.63556851311953355</v>
      </c>
      <c r="L546" s="14">
        <v>0.4</v>
      </c>
      <c r="N546" s="4"/>
      <c r="O546" s="4"/>
      <c r="P546" s="5"/>
      <c r="Q546" s="1"/>
      <c r="R546" s="2"/>
      <c r="S546" s="2"/>
      <c r="T546" s="1"/>
      <c r="U546" s="2"/>
      <c r="V546" s="2"/>
      <c r="W546" s="2"/>
    </row>
    <row r="547" spans="1:23">
      <c r="A547" s="13">
        <v>54.5</v>
      </c>
      <c r="B547" s="13">
        <f t="shared" si="0"/>
        <v>0.62728597932679553</v>
      </c>
      <c r="C547" s="13">
        <f>IF(B547&gt;=$S$2, A547, "")</f>
        <v>54.5</v>
      </c>
      <c r="D547" s="13" t="str">
        <f>IF(AND(B547=1, B547&gt;=$S$2), A547, "")</f>
        <v/>
      </c>
      <c r="E547" s="13">
        <f>IF(B547&gt;=$S$2, B547, 0)</f>
        <v>0.62728597932679553</v>
      </c>
      <c r="F547" s="13">
        <f t="shared" si="1"/>
        <v>3.4187085873310843</v>
      </c>
      <c r="G547" s="13">
        <f t="shared" si="2"/>
        <v>6.2728597932680444E-2</v>
      </c>
      <c r="H547" s="13">
        <f>IF(B547&gt;=$T$2, A547, "")</f>
        <v>54.5</v>
      </c>
      <c r="I547" s="14">
        <f t="shared" si="19"/>
        <v>0.62728597932679553</v>
      </c>
      <c r="J547" s="14">
        <v>0.5</v>
      </c>
      <c r="K547" s="14">
        <f t="shared" si="20"/>
        <v>0.62728597932679553</v>
      </c>
      <c r="L547" s="14">
        <v>0.4</v>
      </c>
      <c r="N547" s="4"/>
      <c r="O547" s="4"/>
      <c r="P547" s="5"/>
      <c r="Q547" s="1"/>
      <c r="R547" s="2"/>
      <c r="S547" s="2"/>
      <c r="T547" s="1"/>
      <c r="U547" s="2"/>
      <c r="V547" s="2"/>
      <c r="W547" s="2"/>
    </row>
    <row r="548" spans="1:23">
      <c r="A548" s="13">
        <v>54.6</v>
      </c>
      <c r="B548" s="13">
        <f t="shared" si="0"/>
        <v>0.61900344553405751</v>
      </c>
      <c r="C548" s="13">
        <f>IF(B548&gt;=$S$2, A548, "")</f>
        <v>54.6</v>
      </c>
      <c r="D548" s="13" t="str">
        <f>IF(AND(B548=1, B548&gt;=$S$2), A548, "")</f>
        <v/>
      </c>
      <c r="E548" s="13">
        <f>IF(B548&gt;=$S$2, B548, 0)</f>
        <v>0.61900344553405751</v>
      </c>
      <c r="F548" s="13">
        <f t="shared" si="1"/>
        <v>3.3797588126160019</v>
      </c>
      <c r="G548" s="13">
        <f t="shared" si="2"/>
        <v>6.1900344553406629E-2</v>
      </c>
      <c r="H548" s="13">
        <f>IF(B548&gt;=$T$2, A548, "")</f>
        <v>54.6</v>
      </c>
      <c r="I548" s="14">
        <f t="shared" si="19"/>
        <v>0.61900344553405751</v>
      </c>
      <c r="J548" s="14">
        <v>0.5</v>
      </c>
      <c r="K548" s="14">
        <f t="shared" si="20"/>
        <v>0.61900344553405751</v>
      </c>
      <c r="L548" s="14">
        <v>0.4</v>
      </c>
      <c r="N548" s="4"/>
      <c r="O548" s="4"/>
      <c r="P548" s="5"/>
      <c r="Q548" s="1"/>
      <c r="R548" s="2"/>
      <c r="S548" s="2"/>
      <c r="T548" s="1"/>
      <c r="U548" s="2"/>
      <c r="V548" s="2"/>
      <c r="W548" s="2"/>
    </row>
    <row r="549" spans="1:23">
      <c r="A549" s="13">
        <v>54.7</v>
      </c>
      <c r="B549" s="13">
        <f t="shared" si="0"/>
        <v>0.61072091174131959</v>
      </c>
      <c r="C549" s="13">
        <f>IF(B549&gt;=$S$2, A549, "")</f>
        <v>54.7</v>
      </c>
      <c r="D549" s="13" t="str">
        <f>IF(AND(B549=1, B549&gt;=$S$2), A549, "")</f>
        <v/>
      </c>
      <c r="E549" s="13">
        <f>IF(B549&gt;=$S$2, B549, 0)</f>
        <v>0.61072091174131959</v>
      </c>
      <c r="F549" s="13">
        <f t="shared" si="1"/>
        <v>3.3406433872248282</v>
      </c>
      <c r="G549" s="13">
        <f t="shared" si="2"/>
        <v>6.1072091174128484E-2</v>
      </c>
      <c r="H549" s="13">
        <f>IF(B549&gt;=$T$2, A549, "")</f>
        <v>54.7</v>
      </c>
      <c r="I549" s="14">
        <f t="shared" si="19"/>
        <v>0.61072091174131959</v>
      </c>
      <c r="J549" s="14">
        <v>0.5</v>
      </c>
      <c r="K549" s="14">
        <f t="shared" si="20"/>
        <v>0.61072091174131959</v>
      </c>
      <c r="L549" s="14">
        <v>0.4</v>
      </c>
      <c r="N549" s="4"/>
      <c r="O549" s="4"/>
      <c r="P549" s="5"/>
      <c r="Q549" s="1"/>
      <c r="R549" s="2"/>
      <c r="S549" s="2"/>
      <c r="T549" s="1"/>
      <c r="U549" s="2"/>
      <c r="V549" s="2"/>
      <c r="W549" s="2"/>
    </row>
    <row r="550" spans="1:23">
      <c r="A550" s="13">
        <v>54.8</v>
      </c>
      <c r="B550" s="13">
        <f t="shared" si="0"/>
        <v>0.60243837794858213</v>
      </c>
      <c r="C550" s="13">
        <f>IF(B550&gt;=$S$2, A550, "")</f>
        <v>54.8</v>
      </c>
      <c r="D550" s="13" t="str">
        <f>IF(AND(B550=1, B550&gt;=$S$2), A550, "")</f>
        <v/>
      </c>
      <c r="E550" s="13">
        <f>IF(B550&gt;=$S$2, B550, 0)</f>
        <v>0.60243837794858213</v>
      </c>
      <c r="F550" s="13">
        <f t="shared" si="1"/>
        <v>3.3013623111582766</v>
      </c>
      <c r="G550" s="13">
        <f t="shared" si="2"/>
        <v>6.0243837794859069E-2</v>
      </c>
      <c r="H550" s="13">
        <f>IF(B550&gt;=$T$2, A550, "")</f>
        <v>54.8</v>
      </c>
      <c r="I550" s="14">
        <f t="shared" si="19"/>
        <v>0.60243837794858213</v>
      </c>
      <c r="J550" s="14">
        <v>0.5</v>
      </c>
      <c r="K550" s="14">
        <f t="shared" si="20"/>
        <v>0.60243837794858213</v>
      </c>
      <c r="L550" s="14">
        <v>0.4</v>
      </c>
      <c r="N550" s="4"/>
      <c r="O550" s="4"/>
      <c r="P550" s="5"/>
      <c r="Q550" s="1"/>
      <c r="R550" s="2"/>
      <c r="S550" s="2"/>
      <c r="T550" s="1"/>
      <c r="U550" s="2"/>
      <c r="V550" s="2"/>
      <c r="W550" s="2"/>
    </row>
    <row r="551" spans="1:23">
      <c r="A551" s="13">
        <v>54.9</v>
      </c>
      <c r="B551" s="13">
        <f t="shared" si="0"/>
        <v>0.5941558441558441</v>
      </c>
      <c r="C551" s="13">
        <f>IF(B551&gt;=$S$2, A551, "")</f>
        <v>54.9</v>
      </c>
      <c r="D551" s="13" t="str">
        <f>IF(AND(B551=1, B551&gt;=$S$2), A551, "")</f>
        <v/>
      </c>
      <c r="E551" s="13">
        <f>IF(B551&gt;=$S$2, B551, 0)</f>
        <v>0.5941558441558441</v>
      </c>
      <c r="F551" s="13">
        <f t="shared" si="1"/>
        <v>3.2619155844156307</v>
      </c>
      <c r="G551" s="13">
        <f t="shared" si="2"/>
        <v>5.9415584415585254E-2</v>
      </c>
      <c r="H551" s="13">
        <f>IF(B551&gt;=$T$2, A551, "")</f>
        <v>54.9</v>
      </c>
      <c r="I551" s="14">
        <f t="shared" si="19"/>
        <v>0.5941558441558441</v>
      </c>
      <c r="J551" s="14">
        <v>0.5</v>
      </c>
      <c r="K551" s="14">
        <f t="shared" si="20"/>
        <v>0.5941558441558441</v>
      </c>
      <c r="L551" s="14">
        <v>0.4</v>
      </c>
      <c r="N551" s="4"/>
      <c r="O551" s="4"/>
      <c r="P551" s="5"/>
      <c r="Q551" s="1"/>
      <c r="R551" s="2"/>
      <c r="S551" s="2"/>
      <c r="T551" s="1"/>
      <c r="U551" s="2"/>
      <c r="V551" s="2"/>
      <c r="W551" s="2"/>
    </row>
    <row r="552" spans="1:23">
      <c r="A552" s="13">
        <v>55</v>
      </c>
      <c r="B552" s="13">
        <f t="shared" si="0"/>
        <v>0.58587331036310619</v>
      </c>
      <c r="C552" s="13">
        <f>IF(B552&gt;=$S$2, A552, "")</f>
        <v>55</v>
      </c>
      <c r="D552" s="13" t="str">
        <f>IF(AND(B552=1, B552&gt;=$S$2), A552, "")</f>
        <v/>
      </c>
      <c r="E552" s="13">
        <f>IF(B552&gt;=$S$2, B552, 0)</f>
        <v>0.58587331036310619</v>
      </c>
      <c r="F552" s="13">
        <f t="shared" si="1"/>
        <v>3.2223032069971298</v>
      </c>
      <c r="G552" s="13">
        <f t="shared" si="2"/>
        <v>5.8587331036311453E-2</v>
      </c>
      <c r="H552" s="13">
        <f>IF(B552&gt;=$T$2, A552, "")</f>
        <v>55</v>
      </c>
      <c r="I552" s="14">
        <f t="shared" si="19"/>
        <v>0.58587331036310619</v>
      </c>
      <c r="J552" s="14">
        <v>0.5</v>
      </c>
      <c r="K552" s="14">
        <f t="shared" si="20"/>
        <v>0.58587331036310619</v>
      </c>
      <c r="L552" s="14">
        <v>0.4</v>
      </c>
      <c r="N552" s="4"/>
      <c r="O552" s="4"/>
      <c r="P552" s="5"/>
      <c r="Q552" s="1"/>
      <c r="R552" s="2"/>
      <c r="S552" s="2"/>
      <c r="T552" s="1"/>
      <c r="U552" s="2"/>
      <c r="V552" s="2"/>
      <c r="W552" s="2"/>
    </row>
    <row r="553" spans="1:23">
      <c r="A553" s="13">
        <v>55.1</v>
      </c>
      <c r="B553" s="13">
        <f t="shared" si="0"/>
        <v>0.57759077657036817</v>
      </c>
      <c r="C553" s="13">
        <f>IF(B553&gt;=$S$2, A553, "")</f>
        <v>55.1</v>
      </c>
      <c r="D553" s="13" t="str">
        <f>IF(AND(B553=1, B553&gt;=$S$2), A553, "")</f>
        <v/>
      </c>
      <c r="E553" s="13">
        <f>IF(B553&gt;=$S$2, B553, 0)</f>
        <v>0.57759077657036817</v>
      </c>
      <c r="F553" s="13">
        <f t="shared" si="1"/>
        <v>3.182525178902774</v>
      </c>
      <c r="G553" s="13">
        <f t="shared" si="2"/>
        <v>5.7759077657037639E-2</v>
      </c>
      <c r="H553" s="13">
        <f>IF(B553&gt;=$T$2, A553, "")</f>
        <v>55.1</v>
      </c>
      <c r="I553" s="14">
        <f t="shared" si="19"/>
        <v>0.57759077657036817</v>
      </c>
      <c r="J553" s="14">
        <v>0.5</v>
      </c>
      <c r="K553" s="14">
        <f t="shared" si="20"/>
        <v>0.57759077657036817</v>
      </c>
      <c r="L553" s="14">
        <v>0.4</v>
      </c>
      <c r="N553" s="4"/>
      <c r="O553" s="4"/>
      <c r="P553" s="5"/>
      <c r="Q553" s="1"/>
      <c r="R553" s="2"/>
      <c r="S553" s="2"/>
      <c r="T553" s="1"/>
      <c r="U553" s="2"/>
      <c r="V553" s="2"/>
      <c r="W553" s="2"/>
    </row>
    <row r="554" spans="1:23">
      <c r="A554" s="13">
        <v>55.2</v>
      </c>
      <c r="B554" s="13">
        <f t="shared" si="0"/>
        <v>0.56930824277763015</v>
      </c>
      <c r="C554" s="13">
        <f>IF(B554&gt;=$S$2, A554, "")</f>
        <v>55.2</v>
      </c>
      <c r="D554" s="13" t="str">
        <f>IF(AND(B554=1, B554&gt;=$S$2), A554, "")</f>
        <v/>
      </c>
      <c r="E554" s="13">
        <f>IF(B554&gt;=$S$2, B554, 0)</f>
        <v>0.56930824277763015</v>
      </c>
      <c r="F554" s="13">
        <f t="shared" si="1"/>
        <v>3.1425815001323403</v>
      </c>
      <c r="G554" s="13">
        <f t="shared" si="2"/>
        <v>5.6930824277759778E-2</v>
      </c>
      <c r="H554" s="13">
        <f>IF(B554&gt;=$T$2, A554, "")</f>
        <v>55.2</v>
      </c>
      <c r="I554" s="14">
        <f t="shared" si="19"/>
        <v>0.56930824277763015</v>
      </c>
      <c r="J554" s="14">
        <v>0.5</v>
      </c>
      <c r="K554" s="14">
        <f t="shared" si="20"/>
        <v>0.56930824277763015</v>
      </c>
      <c r="L554" s="14">
        <v>0.4</v>
      </c>
      <c r="N554" s="4"/>
      <c r="O554" s="4"/>
      <c r="P554" s="5"/>
      <c r="Q554" s="1"/>
      <c r="R554" s="2"/>
      <c r="S554" s="2"/>
      <c r="T554" s="1"/>
      <c r="U554" s="2"/>
      <c r="V554" s="2"/>
      <c r="W554" s="2"/>
    </row>
    <row r="555" spans="1:23">
      <c r="A555" s="13">
        <v>55.3</v>
      </c>
      <c r="B555" s="13">
        <f t="shared" si="0"/>
        <v>0.56102570898489279</v>
      </c>
      <c r="C555" s="13">
        <f>IF(B555&gt;=$S$2, A555, "")</f>
        <v>55.3</v>
      </c>
      <c r="D555" s="13" t="str">
        <f>IF(AND(B555=1, B555&gt;=$S$2), A555, "")</f>
        <v/>
      </c>
      <c r="E555" s="13">
        <f>IF(B555&gt;=$S$2, B555, 0)</f>
        <v>0.56102570898489279</v>
      </c>
      <c r="F555" s="13">
        <f t="shared" si="1"/>
        <v>3.1024721706865011</v>
      </c>
      <c r="G555" s="13">
        <f t="shared" si="2"/>
        <v>5.6102570898490078E-2</v>
      </c>
      <c r="H555" s="13">
        <f>IF(B555&gt;=$T$2, A555, "")</f>
        <v>55.3</v>
      </c>
      <c r="I555" s="14">
        <f t="shared" si="19"/>
        <v>0.56102570898489279</v>
      </c>
      <c r="J555" s="14">
        <v>0.5</v>
      </c>
      <c r="K555" s="14">
        <f t="shared" si="20"/>
        <v>0.56102570898489279</v>
      </c>
      <c r="L555" s="14">
        <v>0.4</v>
      </c>
      <c r="N555" s="4"/>
      <c r="O555" s="4"/>
      <c r="P555" s="5"/>
      <c r="Q555" s="1"/>
      <c r="R555" s="2"/>
      <c r="S555" s="2"/>
      <c r="T555" s="1"/>
      <c r="U555" s="2"/>
      <c r="V555" s="2"/>
      <c r="W555" s="2"/>
    </row>
    <row r="556" spans="1:23">
      <c r="A556" s="13">
        <v>55.4</v>
      </c>
      <c r="B556" s="13">
        <f t="shared" si="0"/>
        <v>0.55274317519215477</v>
      </c>
      <c r="C556" s="13">
        <f>IF(B556&gt;=$S$2, A556, "")</f>
        <v>55.4</v>
      </c>
      <c r="D556" s="13" t="str">
        <f>IF(AND(B556=1, B556&gt;=$S$2), A556, "")</f>
        <v/>
      </c>
      <c r="E556" s="13">
        <f>IF(B556&gt;=$S$2, B556, 0)</f>
        <v>0.55274317519215477</v>
      </c>
      <c r="F556" s="13">
        <f t="shared" si="1"/>
        <v>3.0621971905645808</v>
      </c>
      <c r="G556" s="13">
        <f t="shared" si="2"/>
        <v>5.5274317519216264E-2</v>
      </c>
      <c r="H556" s="13">
        <f>IF(B556&gt;=$T$2, A556, "")</f>
        <v>55.4</v>
      </c>
      <c r="I556" s="14">
        <f t="shared" si="19"/>
        <v>0.55274317519215477</v>
      </c>
      <c r="J556" s="14">
        <v>0.5</v>
      </c>
      <c r="K556" s="14">
        <f t="shared" si="20"/>
        <v>0.55274317519215477</v>
      </c>
      <c r="L556" s="14">
        <v>0.4</v>
      </c>
      <c r="N556" s="4"/>
      <c r="O556" s="4"/>
      <c r="P556" s="5"/>
      <c r="Q556" s="1"/>
      <c r="R556" s="2"/>
      <c r="S556" s="2"/>
      <c r="T556" s="1"/>
      <c r="U556" s="2"/>
      <c r="V556" s="2"/>
      <c r="W556" s="2"/>
    </row>
    <row r="557" spans="1:23">
      <c r="A557" s="13">
        <v>55.5</v>
      </c>
      <c r="B557" s="13">
        <f t="shared" si="0"/>
        <v>0.54446064139941674</v>
      </c>
      <c r="C557" s="13">
        <f>IF(B557&gt;=$S$2, A557, "")</f>
        <v>55.5</v>
      </c>
      <c r="D557" s="13" t="str">
        <f>IF(AND(B557=1, B557&gt;=$S$2), A557, "")</f>
        <v/>
      </c>
      <c r="E557" s="13">
        <f>IF(B557&gt;=$S$2, B557, 0)</f>
        <v>0.54446064139941674</v>
      </c>
      <c r="F557" s="13">
        <f t="shared" si="1"/>
        <v>3.0217565597668057</v>
      </c>
      <c r="G557" s="13">
        <f t="shared" si="2"/>
        <v>5.4446064139942449E-2</v>
      </c>
      <c r="H557" s="13">
        <f>IF(B557&gt;=$T$2, A557, "")</f>
        <v>55.5</v>
      </c>
      <c r="I557" s="14">
        <f t="shared" si="19"/>
        <v>0.54446064139941674</v>
      </c>
      <c r="J557" s="14">
        <v>0.5</v>
      </c>
      <c r="K557" s="14">
        <f t="shared" si="20"/>
        <v>0.54446064139941674</v>
      </c>
      <c r="L557" s="14">
        <v>0.4</v>
      </c>
      <c r="N557" s="4"/>
      <c r="O557" s="4"/>
      <c r="P557" s="5"/>
      <c r="Q557" s="1"/>
      <c r="R557" s="2"/>
      <c r="S557" s="2"/>
      <c r="T557" s="1"/>
      <c r="U557" s="2"/>
      <c r="V557" s="2"/>
      <c r="W557" s="2"/>
    </row>
    <row r="558" spans="1:23">
      <c r="A558" s="13">
        <v>55.6</v>
      </c>
      <c r="B558" s="13">
        <f t="shared" si="0"/>
        <v>0.53617810760667883</v>
      </c>
      <c r="C558" s="13">
        <f>IF(B558&gt;=$S$2, A558, "")</f>
        <v>55.6</v>
      </c>
      <c r="D558" s="13" t="str">
        <f>IF(AND(B558=1, B558&gt;=$S$2), A558, "")</f>
        <v/>
      </c>
      <c r="E558" s="13">
        <f>IF(B558&gt;=$S$2, B558, 0)</f>
        <v>0.53617810760667883</v>
      </c>
      <c r="F558" s="13">
        <f t="shared" si="1"/>
        <v>2.9811502782931769</v>
      </c>
      <c r="G558" s="13">
        <f t="shared" si="2"/>
        <v>5.3617810760668648E-2</v>
      </c>
      <c r="H558" s="13">
        <f>IF(B558&gt;=$T$2, A558, "")</f>
        <v>55.6</v>
      </c>
      <c r="I558" s="14">
        <f t="shared" si="19"/>
        <v>0.53617810760667883</v>
      </c>
      <c r="J558" s="14">
        <v>0.5</v>
      </c>
      <c r="K558" s="14">
        <f t="shared" si="20"/>
        <v>0.53617810760667883</v>
      </c>
      <c r="L558" s="14">
        <v>0.4</v>
      </c>
      <c r="N558" s="4"/>
      <c r="O558" s="4"/>
      <c r="P558" s="5"/>
      <c r="Q558" s="1"/>
      <c r="R558" s="2"/>
      <c r="S558" s="2"/>
      <c r="T558" s="1"/>
      <c r="U558" s="2"/>
      <c r="V558" s="2"/>
      <c r="W558" s="2"/>
    </row>
    <row r="559" spans="1:23">
      <c r="A559" s="13">
        <v>55.7</v>
      </c>
      <c r="B559" s="13">
        <f t="shared" si="0"/>
        <v>0.52789557381394081</v>
      </c>
      <c r="C559" s="13">
        <f>IF(B559&gt;=$S$2, A559, "")</f>
        <v>55.7</v>
      </c>
      <c r="D559" s="13" t="str">
        <f>IF(AND(B559=1, B559&gt;=$S$2), A559, "")</f>
        <v/>
      </c>
      <c r="E559" s="13">
        <f>IF(B559&gt;=$S$2, B559, 0)</f>
        <v>0.52789557381394081</v>
      </c>
      <c r="F559" s="13">
        <f t="shared" si="1"/>
        <v>2.9403783461434831</v>
      </c>
      <c r="G559" s="13">
        <f t="shared" si="2"/>
        <v>5.2789557381391079E-2</v>
      </c>
      <c r="H559" s="13">
        <f>IF(B559&gt;=$T$2, A559, "")</f>
        <v>55.7</v>
      </c>
      <c r="I559" s="14">
        <f t="shared" si="19"/>
        <v>0.52789557381394081</v>
      </c>
      <c r="J559" s="14">
        <v>0.5</v>
      </c>
      <c r="K559" s="14">
        <f t="shared" si="20"/>
        <v>0.52789557381394081</v>
      </c>
      <c r="L559" s="14">
        <v>0.4</v>
      </c>
      <c r="N559" s="4"/>
      <c r="O559" s="4"/>
      <c r="P559" s="5"/>
      <c r="Q559" s="1"/>
      <c r="R559" s="2"/>
      <c r="S559" s="2"/>
      <c r="T559" s="1"/>
      <c r="U559" s="2"/>
      <c r="V559" s="2"/>
      <c r="W559" s="2"/>
    </row>
    <row r="560" spans="1:23">
      <c r="A560" s="13">
        <v>55.8</v>
      </c>
      <c r="B560" s="13">
        <f t="shared" si="0"/>
        <v>0.51961304002120345</v>
      </c>
      <c r="C560" s="13">
        <f>IF(B560&gt;=$S$2, A560, "")</f>
        <v>55.8</v>
      </c>
      <c r="D560" s="13" t="str">
        <f>IF(AND(B560=1, B560&gt;=$S$2), A560, "")</f>
        <v/>
      </c>
      <c r="E560" s="13">
        <f>IF(B560&gt;=$S$2, B560, 0)</f>
        <v>0.51961304002120345</v>
      </c>
      <c r="F560" s="13">
        <f t="shared" si="1"/>
        <v>2.8994407633183563</v>
      </c>
      <c r="G560" s="13">
        <f t="shared" si="2"/>
        <v>5.1961304002121081E-2</v>
      </c>
      <c r="H560" s="13">
        <f>IF(B560&gt;=$T$2, A560, "")</f>
        <v>55.8</v>
      </c>
      <c r="I560" s="14">
        <f t="shared" si="19"/>
        <v>0.51961304002120345</v>
      </c>
      <c r="J560" s="14">
        <v>0.5</v>
      </c>
      <c r="K560" s="14">
        <f t="shared" si="20"/>
        <v>0.51961304002120345</v>
      </c>
      <c r="L560" s="14">
        <v>0.4</v>
      </c>
      <c r="N560" s="4"/>
      <c r="O560" s="4"/>
      <c r="P560" s="5"/>
      <c r="Q560" s="1"/>
      <c r="R560" s="2"/>
      <c r="S560" s="2"/>
      <c r="T560" s="1"/>
      <c r="U560" s="2"/>
      <c r="V560" s="2"/>
      <c r="W560" s="2"/>
    </row>
    <row r="561" spans="1:23">
      <c r="A561" s="13">
        <v>55.9</v>
      </c>
      <c r="B561" s="13">
        <f t="shared" si="0"/>
        <v>0.51133050622846543</v>
      </c>
      <c r="C561" s="13">
        <f>IF(B561&gt;=$S$2, A561, "")</f>
        <v>55.9</v>
      </c>
      <c r="D561" s="13" t="str">
        <f>IF(AND(B561=1, B561&gt;=$S$2), A561, "")</f>
        <v/>
      </c>
      <c r="E561" s="13">
        <f>IF(B561&gt;=$S$2, B561, 0)</f>
        <v>0.51133050622846543</v>
      </c>
      <c r="F561" s="13">
        <f t="shared" si="1"/>
        <v>2.8583375298171623</v>
      </c>
      <c r="G561" s="13">
        <f t="shared" si="2"/>
        <v>5.1133050622847273E-2</v>
      </c>
      <c r="H561" s="13">
        <f>IF(B561&gt;=$T$2, A561, "")</f>
        <v>55.9</v>
      </c>
      <c r="I561" s="14">
        <f t="shared" si="19"/>
        <v>0.51133050622846543</v>
      </c>
      <c r="J561" s="14">
        <v>0.5</v>
      </c>
      <c r="K561" s="14">
        <f t="shared" si="20"/>
        <v>0.51133050622846543</v>
      </c>
      <c r="L561" s="14">
        <v>0.4</v>
      </c>
      <c r="N561" s="4"/>
      <c r="O561" s="4"/>
      <c r="P561" s="5"/>
      <c r="Q561" s="1"/>
      <c r="R561" s="2"/>
      <c r="S561" s="2"/>
      <c r="T561" s="1"/>
      <c r="U561" s="2"/>
      <c r="V561" s="2"/>
      <c r="W561" s="2"/>
    </row>
    <row r="562" spans="1:23">
      <c r="A562" s="13">
        <v>56</v>
      </c>
      <c r="B562" s="13">
        <f t="shared" si="0"/>
        <v>0.50304797243572741</v>
      </c>
      <c r="C562" s="13">
        <f>IF(B562&gt;=$S$2, A562, "")</f>
        <v>56</v>
      </c>
      <c r="D562" s="13" t="str">
        <f>IF(AND(B562=1, B562&gt;=$S$2), A562, "")</f>
        <v/>
      </c>
      <c r="E562" s="13">
        <f>IF(B562&gt;=$S$2, B562, 0)</f>
        <v>0.50304797243572741</v>
      </c>
      <c r="F562" s="13">
        <f t="shared" si="1"/>
        <v>2.8170686456401133</v>
      </c>
      <c r="G562" s="13">
        <f t="shared" si="2"/>
        <v>5.0304797243573458E-2</v>
      </c>
      <c r="H562" s="13">
        <f>IF(B562&gt;=$T$2, A562, "")</f>
        <v>56</v>
      </c>
      <c r="I562" s="14">
        <f t="shared" si="19"/>
        <v>0.50304797243572741</v>
      </c>
      <c r="J562" s="14">
        <v>0.5</v>
      </c>
      <c r="K562" s="14">
        <f t="shared" si="20"/>
        <v>0.50304797243572741</v>
      </c>
      <c r="L562" s="14">
        <v>0.4</v>
      </c>
      <c r="N562" s="4"/>
      <c r="O562" s="4"/>
      <c r="P562" s="5"/>
      <c r="Q562" s="1"/>
      <c r="R562" s="2"/>
      <c r="S562" s="2"/>
      <c r="T562" s="1"/>
      <c r="U562" s="2"/>
      <c r="V562" s="2"/>
      <c r="W562" s="2"/>
    </row>
    <row r="563" spans="1:23">
      <c r="A563" s="13">
        <v>56.1</v>
      </c>
      <c r="B563" s="13">
        <f t="shared" si="0"/>
        <v>0.49476543864298944</v>
      </c>
      <c r="C563" s="13" t="str">
        <f>IF(B563&gt;=$S$2, A563, "")</f>
        <v/>
      </c>
      <c r="D563" s="13" t="str">
        <f>IF(AND(B563=1, B563&gt;=$S$2), A563, "")</f>
        <v/>
      </c>
      <c r="E563" s="13">
        <f>IF(B563&gt;=$S$2, B563, 0)</f>
        <v>0</v>
      </c>
      <c r="F563" s="13">
        <f t="shared" si="1"/>
        <v>0</v>
      </c>
      <c r="G563" s="13">
        <f t="shared" si="2"/>
        <v>0</v>
      </c>
      <c r="H563" s="13">
        <f>IF(B563&gt;=$T$2, A563, "")</f>
        <v>56.1</v>
      </c>
      <c r="I563" s="14" t="e">
        <f t="shared" si="19"/>
        <v>#N/A</v>
      </c>
      <c r="J563" s="14">
        <v>0.5</v>
      </c>
      <c r="K563" s="14">
        <f t="shared" si="20"/>
        <v>0.49476543864298944</v>
      </c>
      <c r="L563" s="14">
        <v>0.4</v>
      </c>
      <c r="N563" s="4"/>
      <c r="O563" s="4"/>
      <c r="P563" s="5"/>
      <c r="Q563" s="1"/>
      <c r="R563" s="2"/>
      <c r="S563" s="2"/>
      <c r="T563" s="1"/>
      <c r="U563" s="2"/>
      <c r="V563" s="2"/>
      <c r="W563" s="2"/>
    </row>
    <row r="564" spans="1:23">
      <c r="A564" s="13">
        <v>56.2</v>
      </c>
      <c r="B564" s="13">
        <f t="shared" si="0"/>
        <v>0.48648290485025142</v>
      </c>
      <c r="C564" s="13" t="str">
        <f>IF(B564&gt;=$S$2, A564, "")</f>
        <v/>
      </c>
      <c r="D564" s="13" t="str">
        <f>IF(AND(B564=1, B564&gt;=$S$2), A564, "")</f>
        <v/>
      </c>
      <c r="E564" s="13">
        <f>IF(B564&gt;=$S$2, B564, 0)</f>
        <v>0</v>
      </c>
      <c r="F564" s="13">
        <f t="shared" si="1"/>
        <v>0</v>
      </c>
      <c r="G564" s="13">
        <f t="shared" si="2"/>
        <v>0</v>
      </c>
      <c r="H564" s="13">
        <f>IF(B564&gt;=$T$2, A564, "")</f>
        <v>56.2</v>
      </c>
      <c r="I564" s="14" t="e">
        <f t="shared" si="19"/>
        <v>#N/A</v>
      </c>
      <c r="J564" s="14">
        <v>0.5</v>
      </c>
      <c r="K564" s="14">
        <f t="shared" si="20"/>
        <v>0.48648290485025142</v>
      </c>
      <c r="L564" s="14">
        <v>0.4</v>
      </c>
      <c r="N564" s="4"/>
      <c r="O564" s="4"/>
      <c r="P564" s="5"/>
      <c r="Q564" s="1"/>
      <c r="R564" s="2"/>
      <c r="S564" s="2"/>
      <c r="T564" s="1"/>
      <c r="U564" s="2"/>
      <c r="V564" s="2"/>
      <c r="W564" s="2"/>
    </row>
    <row r="565" spans="1:23">
      <c r="A565" s="13">
        <v>56.3</v>
      </c>
      <c r="B565" s="13">
        <f t="shared" si="0"/>
        <v>0.47820037105751406</v>
      </c>
      <c r="C565" s="13" t="str">
        <f>IF(B565&gt;=$S$2, A565, "")</f>
        <v/>
      </c>
      <c r="D565" s="13" t="str">
        <f>IF(AND(B565=1, B565&gt;=$S$2), A565, "")</f>
        <v/>
      </c>
      <c r="E565" s="13">
        <f>IF(B565&gt;=$S$2, B565, 0)</f>
        <v>0</v>
      </c>
      <c r="F565" s="13">
        <f t="shared" si="1"/>
        <v>0</v>
      </c>
      <c r="G565" s="13">
        <f t="shared" si="2"/>
        <v>0</v>
      </c>
      <c r="H565" s="13">
        <f>IF(B565&gt;=$T$2, A565, "")</f>
        <v>56.3</v>
      </c>
      <c r="I565" s="14" t="e">
        <f t="shared" si="19"/>
        <v>#N/A</v>
      </c>
      <c r="J565" s="14">
        <v>0.5</v>
      </c>
      <c r="K565" s="14">
        <f t="shared" si="20"/>
        <v>0.47820037105751406</v>
      </c>
      <c r="L565" s="14">
        <v>0.4</v>
      </c>
      <c r="N565" s="4"/>
      <c r="O565" s="4"/>
      <c r="P565" s="5"/>
      <c r="Q565" s="1"/>
      <c r="R565" s="2"/>
      <c r="S565" s="2"/>
      <c r="T565" s="1"/>
      <c r="U565" s="2"/>
      <c r="V565" s="2"/>
      <c r="W565" s="2"/>
    </row>
    <row r="566" spans="1:23">
      <c r="A566" s="13">
        <v>56.4</v>
      </c>
      <c r="B566" s="13">
        <f t="shared" si="0"/>
        <v>0.46991783726477604</v>
      </c>
      <c r="C566" s="13" t="str">
        <f>IF(B566&gt;=$S$2, A566, "")</f>
        <v/>
      </c>
      <c r="D566" s="13" t="str">
        <f>IF(AND(B566=1, B566&gt;=$S$2), A566, "")</f>
        <v/>
      </c>
      <c r="E566" s="13">
        <f>IF(B566&gt;=$S$2, B566, 0)</f>
        <v>0</v>
      </c>
      <c r="F566" s="13">
        <f t="shared" si="1"/>
        <v>0</v>
      </c>
      <c r="G566" s="13">
        <f t="shared" si="2"/>
        <v>0</v>
      </c>
      <c r="H566" s="13">
        <f>IF(B566&gt;=$T$2, A566, "")</f>
        <v>56.4</v>
      </c>
      <c r="I566" s="14" t="e">
        <f t="shared" si="19"/>
        <v>#N/A</v>
      </c>
      <c r="J566" s="14">
        <v>0.5</v>
      </c>
      <c r="K566" s="14">
        <f t="shared" si="20"/>
        <v>0.46991783726477604</v>
      </c>
      <c r="L566" s="14">
        <v>0.4</v>
      </c>
      <c r="N566" s="4"/>
      <c r="O566" s="4"/>
      <c r="P566" s="5"/>
      <c r="Q566" s="1"/>
      <c r="R566" s="2"/>
      <c r="S566" s="2"/>
      <c r="T566" s="1"/>
      <c r="U566" s="2"/>
      <c r="V566" s="2"/>
      <c r="W566" s="2"/>
    </row>
    <row r="567" spans="1:23">
      <c r="A567" s="13">
        <v>56.5</v>
      </c>
      <c r="B567" s="13">
        <f t="shared" si="0"/>
        <v>0.46163530347203807</v>
      </c>
      <c r="C567" s="13" t="str">
        <f>IF(B567&gt;=$S$2, A567, "")</f>
        <v/>
      </c>
      <c r="D567" s="13" t="str">
        <f>IF(AND(B567=1, B567&gt;=$S$2), A567, "")</f>
        <v/>
      </c>
      <c r="E567" s="13">
        <f>IF(B567&gt;=$S$2, B567, 0)</f>
        <v>0</v>
      </c>
      <c r="F567" s="13">
        <f t="shared" si="1"/>
        <v>0</v>
      </c>
      <c r="G567" s="13">
        <f t="shared" si="2"/>
        <v>0</v>
      </c>
      <c r="H567" s="13">
        <f>IF(B567&gt;=$T$2, A567, "")</f>
        <v>56.5</v>
      </c>
      <c r="I567" s="14" t="e">
        <f t="shared" si="19"/>
        <v>#N/A</v>
      </c>
      <c r="J567" s="14">
        <v>0.5</v>
      </c>
      <c r="K567" s="14">
        <f t="shared" si="20"/>
        <v>0.46163530347203807</v>
      </c>
      <c r="L567" s="14">
        <v>0.4</v>
      </c>
      <c r="N567" s="4"/>
      <c r="O567" s="4"/>
      <c r="P567" s="5"/>
      <c r="Q567" s="1"/>
      <c r="R567" s="2"/>
      <c r="S567" s="2"/>
      <c r="T567" s="1"/>
      <c r="U567" s="2"/>
      <c r="V567" s="2"/>
      <c r="W567" s="2"/>
    </row>
    <row r="568" spans="1:23">
      <c r="A568" s="13">
        <v>56.6</v>
      </c>
      <c r="B568" s="13">
        <f t="shared" si="0"/>
        <v>0.45335276967930005</v>
      </c>
      <c r="C568" s="13" t="str">
        <f>IF(B568&gt;=$S$2, A568, "")</f>
        <v/>
      </c>
      <c r="D568" s="13" t="str">
        <f>IF(AND(B568=1, B568&gt;=$S$2), A568, "")</f>
        <v/>
      </c>
      <c r="E568" s="13">
        <f>IF(B568&gt;=$S$2, B568, 0)</f>
        <v>0</v>
      </c>
      <c r="F568" s="13">
        <f t="shared" si="1"/>
        <v>0</v>
      </c>
      <c r="G568" s="13">
        <f t="shared" si="2"/>
        <v>0</v>
      </c>
      <c r="H568" s="13">
        <f>IF(B568&gt;=$T$2, A568, "")</f>
        <v>56.6</v>
      </c>
      <c r="I568" s="14" t="e">
        <f t="shared" si="19"/>
        <v>#N/A</v>
      </c>
      <c r="J568" s="14">
        <v>0.5</v>
      </c>
      <c r="K568" s="14">
        <f t="shared" si="20"/>
        <v>0.45335276967930005</v>
      </c>
      <c r="L568" s="14">
        <v>0.4</v>
      </c>
      <c r="N568" s="4"/>
      <c r="O568" s="4"/>
      <c r="P568" s="5"/>
      <c r="Q568" s="1"/>
      <c r="R568" s="2"/>
      <c r="S568" s="2"/>
      <c r="T568" s="1"/>
      <c r="U568" s="2"/>
      <c r="V568" s="2"/>
      <c r="W568" s="2"/>
    </row>
    <row r="569" spans="1:23">
      <c r="A569" s="13">
        <v>56.7</v>
      </c>
      <c r="B569" s="13">
        <f t="shared" si="0"/>
        <v>0.44507023588656208</v>
      </c>
      <c r="C569" s="13" t="str">
        <f>IF(B569&gt;=$S$2, A569, "")</f>
        <v/>
      </c>
      <c r="D569" s="13" t="str">
        <f>IF(AND(B569=1, B569&gt;=$S$2), A569, "")</f>
        <v/>
      </c>
      <c r="E569" s="13">
        <f>IF(B569&gt;=$S$2, B569, 0)</f>
        <v>0</v>
      </c>
      <c r="F569" s="13">
        <f t="shared" si="1"/>
        <v>0</v>
      </c>
      <c r="G569" s="13">
        <f t="shared" si="2"/>
        <v>0</v>
      </c>
      <c r="H569" s="13">
        <f>IF(B569&gt;=$T$2, A569, "")</f>
        <v>56.7</v>
      </c>
      <c r="I569" s="14" t="e">
        <f t="shared" si="19"/>
        <v>#N/A</v>
      </c>
      <c r="J569" s="14">
        <v>0.5</v>
      </c>
      <c r="K569" s="14">
        <f t="shared" si="20"/>
        <v>0.44507023588656208</v>
      </c>
      <c r="L569" s="14">
        <v>0.4</v>
      </c>
      <c r="N569" s="4"/>
      <c r="O569" s="4"/>
      <c r="P569" s="5"/>
      <c r="Q569" s="1"/>
      <c r="R569" s="2"/>
      <c r="S569" s="2"/>
      <c r="T569" s="1"/>
      <c r="U569" s="2"/>
      <c r="V569" s="2"/>
      <c r="W569" s="2"/>
    </row>
    <row r="570" spans="1:23">
      <c r="A570" s="13">
        <v>56.8</v>
      </c>
      <c r="B570" s="13">
        <f t="shared" si="0"/>
        <v>0.43678770209382467</v>
      </c>
      <c r="C570" s="13" t="str">
        <f>IF(B570&gt;=$S$2, A570, "")</f>
        <v/>
      </c>
      <c r="D570" s="13" t="str">
        <f>IF(AND(B570=1, B570&gt;=$S$2), A570, "")</f>
        <v/>
      </c>
      <c r="E570" s="13">
        <f>IF(B570&gt;=$S$2, B570, 0)</f>
        <v>0</v>
      </c>
      <c r="F570" s="13">
        <f t="shared" si="1"/>
        <v>0</v>
      </c>
      <c r="G570" s="13">
        <f t="shared" si="2"/>
        <v>0</v>
      </c>
      <c r="H570" s="13">
        <f>IF(B570&gt;=$T$2, A570, "")</f>
        <v>56.8</v>
      </c>
      <c r="I570" s="14" t="e">
        <f t="shared" si="19"/>
        <v>#N/A</v>
      </c>
      <c r="J570" s="14">
        <v>0.5</v>
      </c>
      <c r="K570" s="14">
        <f t="shared" si="20"/>
        <v>0.43678770209382467</v>
      </c>
      <c r="L570" s="14">
        <v>0.4</v>
      </c>
      <c r="N570" s="4"/>
      <c r="O570" s="4"/>
      <c r="P570" s="5"/>
      <c r="Q570" s="1"/>
      <c r="R570" s="2"/>
      <c r="S570" s="2"/>
      <c r="T570" s="1"/>
      <c r="U570" s="2"/>
      <c r="V570" s="2"/>
      <c r="W570" s="2"/>
    </row>
    <row r="571" spans="1:23">
      <c r="A571" s="13">
        <v>56.9</v>
      </c>
      <c r="B571" s="13">
        <f t="shared" si="0"/>
        <v>0.4285051683010867</v>
      </c>
      <c r="C571" s="13" t="str">
        <f>IF(B571&gt;=$S$2, A571, "")</f>
        <v/>
      </c>
      <c r="D571" s="13" t="str">
        <f>IF(AND(B571=1, B571&gt;=$S$2), A571, "")</f>
        <v/>
      </c>
      <c r="E571" s="13">
        <f>IF(B571&gt;=$S$2, B571, 0)</f>
        <v>0</v>
      </c>
      <c r="F571" s="13">
        <f t="shared" si="1"/>
        <v>0</v>
      </c>
      <c r="G571" s="13">
        <f t="shared" si="2"/>
        <v>0</v>
      </c>
      <c r="H571" s="13">
        <f>IF(B571&gt;=$T$2, A571, "")</f>
        <v>56.9</v>
      </c>
      <c r="I571" s="14" t="e">
        <f t="shared" si="19"/>
        <v>#N/A</v>
      </c>
      <c r="J571" s="14">
        <v>0.5</v>
      </c>
      <c r="K571" s="14">
        <f t="shared" si="20"/>
        <v>0.4285051683010867</v>
      </c>
      <c r="L571" s="14">
        <v>0.4</v>
      </c>
      <c r="N571" s="4"/>
      <c r="O571" s="4"/>
      <c r="P571" s="5"/>
      <c r="Q571" s="1"/>
      <c r="R571" s="2"/>
      <c r="S571" s="2"/>
      <c r="T571" s="1"/>
      <c r="U571" s="2"/>
      <c r="V571" s="2"/>
      <c r="W571" s="2"/>
    </row>
    <row r="572" spans="1:23">
      <c r="A572" s="13">
        <v>57</v>
      </c>
      <c r="B572" s="13">
        <f t="shared" si="0"/>
        <v>0.42022263450834868</v>
      </c>
      <c r="C572" s="13" t="str">
        <f>IF(B572&gt;=$S$2, A572, "")</f>
        <v/>
      </c>
      <c r="D572" s="13" t="str">
        <f>IF(AND(B572=1, B572&gt;=$S$2), A572, "")</f>
        <v/>
      </c>
      <c r="E572" s="13">
        <f>IF(B572&gt;=$S$2, B572, 0)</f>
        <v>0</v>
      </c>
      <c r="F572" s="13">
        <f t="shared" si="1"/>
        <v>0</v>
      </c>
      <c r="G572" s="13">
        <f t="shared" si="2"/>
        <v>0</v>
      </c>
      <c r="H572" s="13">
        <f>IF(B572&gt;=$T$2, A572, "")</f>
        <v>57</v>
      </c>
      <c r="I572" s="14" t="e">
        <f t="shared" si="19"/>
        <v>#N/A</v>
      </c>
      <c r="J572" s="14">
        <v>0.5</v>
      </c>
      <c r="K572" s="14">
        <f t="shared" si="20"/>
        <v>0.42022263450834868</v>
      </c>
      <c r="L572" s="14">
        <v>0.4</v>
      </c>
      <c r="N572" s="4"/>
      <c r="O572" s="4"/>
      <c r="P572" s="5"/>
      <c r="Q572" s="1"/>
      <c r="R572" s="2"/>
      <c r="S572" s="2"/>
      <c r="T572" s="1"/>
      <c r="U572" s="2"/>
      <c r="V572" s="2"/>
      <c r="W572" s="2"/>
    </row>
    <row r="573" spans="1:23">
      <c r="A573" s="13">
        <v>57.1</v>
      </c>
      <c r="B573" s="13">
        <f t="shared" si="0"/>
        <v>0.41194010071561071</v>
      </c>
      <c r="C573" s="13" t="str">
        <f>IF(B573&gt;=$S$2, A573, "")</f>
        <v/>
      </c>
      <c r="D573" s="13" t="str">
        <f>IF(AND(B573=1, B573&gt;=$S$2), A573, "")</f>
        <v/>
      </c>
      <c r="E573" s="13">
        <f>IF(B573&gt;=$S$2, B573, 0)</f>
        <v>0</v>
      </c>
      <c r="F573" s="13">
        <f t="shared" si="1"/>
        <v>0</v>
      </c>
      <c r="G573" s="13">
        <f t="shared" si="2"/>
        <v>0</v>
      </c>
      <c r="H573" s="13">
        <f>IF(B573&gt;=$T$2, A573, "")</f>
        <v>57.1</v>
      </c>
      <c r="I573" s="14" t="e">
        <f t="shared" si="19"/>
        <v>#N/A</v>
      </c>
      <c r="J573" s="14">
        <v>0.5</v>
      </c>
      <c r="K573" s="14">
        <f t="shared" si="20"/>
        <v>0.41194010071561071</v>
      </c>
      <c r="L573" s="14">
        <v>0.4</v>
      </c>
      <c r="N573" s="4"/>
      <c r="O573" s="4"/>
      <c r="P573" s="5"/>
      <c r="Q573" s="1"/>
      <c r="R573" s="2"/>
      <c r="S573" s="2"/>
      <c r="T573" s="1"/>
      <c r="U573" s="2"/>
      <c r="V573" s="2"/>
      <c r="W573" s="2"/>
    </row>
    <row r="574" spans="1:23">
      <c r="A574" s="13">
        <v>57.2</v>
      </c>
      <c r="B574" s="13">
        <f t="shared" si="0"/>
        <v>0.40365756692287269</v>
      </c>
      <c r="C574" s="13" t="str">
        <f>IF(B574&gt;=$S$2, A574, "")</f>
        <v/>
      </c>
      <c r="D574" s="13" t="str">
        <f>IF(AND(B574=1, B574&gt;=$S$2), A574, "")</f>
        <v/>
      </c>
      <c r="E574" s="13">
        <f>IF(B574&gt;=$S$2, B574, 0)</f>
        <v>0</v>
      </c>
      <c r="F574" s="13">
        <f t="shared" si="1"/>
        <v>0</v>
      </c>
      <c r="G574" s="13">
        <f t="shared" si="2"/>
        <v>0</v>
      </c>
      <c r="H574" s="13">
        <f>IF(B574&gt;=$T$2, A574, "")</f>
        <v>57.2</v>
      </c>
      <c r="I574" s="14" t="e">
        <f t="shared" si="19"/>
        <v>#N/A</v>
      </c>
      <c r="J574" s="14">
        <v>0.5</v>
      </c>
      <c r="K574" s="14">
        <f t="shared" si="20"/>
        <v>0.40365756692287269</v>
      </c>
      <c r="L574" s="14">
        <v>0.4</v>
      </c>
      <c r="N574" s="4"/>
      <c r="O574" s="4"/>
      <c r="P574" s="5"/>
      <c r="Q574" s="1"/>
      <c r="R574" s="2"/>
      <c r="S574" s="2"/>
      <c r="T574" s="1"/>
      <c r="U574" s="2"/>
      <c r="V574" s="2"/>
      <c r="W574" s="2"/>
    </row>
    <row r="575" spans="1:23">
      <c r="A575" s="13">
        <v>57.3</v>
      </c>
      <c r="B575" s="13">
        <f t="shared" si="0"/>
        <v>0.39537503313013528</v>
      </c>
      <c r="C575" s="13" t="str">
        <f>IF(B575&gt;=$S$2, A575, "")</f>
        <v/>
      </c>
      <c r="D575" s="13" t="str">
        <f>IF(AND(B575=1, B575&gt;=$S$2), A575, "")</f>
        <v/>
      </c>
      <c r="E575" s="13">
        <f>IF(B575&gt;=$S$2, B575, 0)</f>
        <v>0</v>
      </c>
      <c r="F575" s="13">
        <f t="shared" si="1"/>
        <v>0</v>
      </c>
      <c r="G575" s="13">
        <f t="shared" si="2"/>
        <v>0</v>
      </c>
      <c r="H575" s="13" t="str">
        <f>IF(B575&gt;=$T$2, A575, "")</f>
        <v/>
      </c>
      <c r="I575" s="14" t="e">
        <f t="shared" si="19"/>
        <v>#N/A</v>
      </c>
      <c r="J575" s="14">
        <v>0.5</v>
      </c>
      <c r="K575" s="14" t="e">
        <f t="shared" si="20"/>
        <v>#N/A</v>
      </c>
      <c r="L575" s="14">
        <v>0.4</v>
      </c>
      <c r="N575" s="4"/>
      <c r="O575" s="4"/>
      <c r="P575" s="5"/>
      <c r="Q575" s="1"/>
      <c r="R575" s="2"/>
      <c r="S575" s="2"/>
      <c r="T575" s="1"/>
      <c r="U575" s="2"/>
      <c r="V575" s="2"/>
      <c r="W575" s="2"/>
    </row>
    <row r="576" spans="1:23">
      <c r="A576" s="13">
        <v>57.4</v>
      </c>
      <c r="B576" s="13">
        <f t="shared" si="0"/>
        <v>0.38709249933739731</v>
      </c>
      <c r="C576" s="13" t="str">
        <f>IF(B576&gt;=$S$2, A576, "")</f>
        <v/>
      </c>
      <c r="D576" s="13" t="str">
        <f>IF(AND(B576=1, B576&gt;=$S$2), A576, "")</f>
        <v/>
      </c>
      <c r="E576" s="13">
        <f>IF(B576&gt;=$S$2, B576, 0)</f>
        <v>0</v>
      </c>
      <c r="F576" s="13">
        <f t="shared" si="1"/>
        <v>0</v>
      </c>
      <c r="G576" s="13">
        <f t="shared" si="2"/>
        <v>0</v>
      </c>
      <c r="H576" s="13" t="str">
        <f>IF(B576&gt;=$T$2, A576, "")</f>
        <v/>
      </c>
      <c r="I576" s="14" t="e">
        <f t="shared" si="19"/>
        <v>#N/A</v>
      </c>
      <c r="J576" s="14">
        <v>0.5</v>
      </c>
      <c r="K576" s="14" t="e">
        <f t="shared" si="20"/>
        <v>#N/A</v>
      </c>
      <c r="L576" s="14">
        <v>0.4</v>
      </c>
      <c r="N576" s="4"/>
      <c r="O576" s="4"/>
      <c r="P576" s="5"/>
      <c r="Q576" s="1"/>
      <c r="R576" s="2"/>
      <c r="S576" s="2"/>
      <c r="T576" s="1"/>
      <c r="U576" s="2"/>
      <c r="V576" s="2"/>
      <c r="W576" s="2"/>
    </row>
    <row r="577" spans="1:23">
      <c r="A577" s="13">
        <v>57.5</v>
      </c>
      <c r="B577" s="13">
        <f t="shared" si="0"/>
        <v>0.37880996554465929</v>
      </c>
      <c r="C577" s="13" t="str">
        <f>IF(B577&gt;=$S$2, A577, "")</f>
        <v/>
      </c>
      <c r="D577" s="13" t="str">
        <f>IF(AND(B577=1, B577&gt;=$S$2), A577, "")</f>
        <v/>
      </c>
      <c r="E577" s="13">
        <f>IF(B577&gt;=$S$2, B577, 0)</f>
        <v>0</v>
      </c>
      <c r="F577" s="13">
        <f t="shared" si="1"/>
        <v>0</v>
      </c>
      <c r="G577" s="13">
        <f t="shared" si="2"/>
        <v>0</v>
      </c>
      <c r="H577" s="13" t="str">
        <f>IF(B577&gt;=$T$2, A577, "")</f>
        <v/>
      </c>
      <c r="I577" s="14" t="e">
        <f t="shared" si="19"/>
        <v>#N/A</v>
      </c>
      <c r="J577" s="14">
        <v>0.5</v>
      </c>
      <c r="K577" s="14" t="e">
        <f t="shared" si="20"/>
        <v>#N/A</v>
      </c>
      <c r="L577" s="14">
        <v>0.4</v>
      </c>
      <c r="N577" s="4"/>
      <c r="O577" s="4"/>
      <c r="P577" s="5"/>
      <c r="Q577" s="1"/>
      <c r="R577" s="2"/>
      <c r="S577" s="2"/>
      <c r="T577" s="1"/>
      <c r="U577" s="2"/>
      <c r="V577" s="2"/>
      <c r="W577" s="2"/>
    </row>
    <row r="578" spans="1:23">
      <c r="A578" s="13">
        <v>57.6</v>
      </c>
      <c r="B578" s="13">
        <f t="shared" si="0"/>
        <v>0.37052743175192132</v>
      </c>
      <c r="C578" s="13" t="str">
        <f>IF(B578&gt;=$S$2, A578, "")</f>
        <v/>
      </c>
      <c r="D578" s="13" t="str">
        <f>IF(AND(B578=1, B578&gt;=$S$2), A578, "")</f>
        <v/>
      </c>
      <c r="E578" s="13">
        <f>IF(B578&gt;=$S$2, B578, 0)</f>
        <v>0</v>
      </c>
      <c r="F578" s="13">
        <f t="shared" si="1"/>
        <v>0</v>
      </c>
      <c r="G578" s="13">
        <f t="shared" si="2"/>
        <v>0</v>
      </c>
      <c r="H578" s="13" t="str">
        <f>IF(B578&gt;=$T$2, A578, "")</f>
        <v/>
      </c>
      <c r="I578" s="14" t="e">
        <f t="shared" si="19"/>
        <v>#N/A</v>
      </c>
      <c r="J578" s="14">
        <v>0.5</v>
      </c>
      <c r="K578" s="14" t="e">
        <f t="shared" si="20"/>
        <v>#N/A</v>
      </c>
      <c r="L578" s="14">
        <v>0.4</v>
      </c>
      <c r="N578" s="4"/>
      <c r="O578" s="4"/>
      <c r="P578" s="5"/>
      <c r="Q578" s="1"/>
      <c r="R578" s="2"/>
      <c r="S578" s="2"/>
      <c r="T578" s="1"/>
      <c r="U578" s="2"/>
      <c r="V578" s="2"/>
      <c r="W578" s="2"/>
    </row>
    <row r="579" spans="1:23">
      <c r="A579" s="13">
        <v>57.7</v>
      </c>
      <c r="B579" s="13">
        <f t="shared" si="0"/>
        <v>0.36224489795918335</v>
      </c>
      <c r="C579" s="13" t="str">
        <f>IF(B579&gt;=$S$2, A579, "")</f>
        <v/>
      </c>
      <c r="D579" s="13" t="str">
        <f>IF(AND(B579=1, B579&gt;=$S$2), A579, "")</f>
        <v/>
      </c>
      <c r="E579" s="13">
        <f>IF(B579&gt;=$S$2, B579, 0)</f>
        <v>0</v>
      </c>
      <c r="F579" s="13">
        <f t="shared" si="1"/>
        <v>0</v>
      </c>
      <c r="G579" s="13">
        <f t="shared" si="2"/>
        <v>0</v>
      </c>
      <c r="H579" s="13" t="str">
        <f>IF(B579&gt;=$T$2, A579, "")</f>
        <v/>
      </c>
      <c r="I579" s="14" t="e">
        <f t="shared" ref="I579:I642" si="21">IF($B579&gt;=0.5, $B579, #N/A)</f>
        <v>#N/A</v>
      </c>
      <c r="J579" s="14">
        <v>0.5</v>
      </c>
      <c r="K579" s="14" t="e">
        <f t="shared" ref="K579:K642" si="22">IF($B579&gt;=0.4, $B579, #N/A)</f>
        <v>#N/A</v>
      </c>
      <c r="L579" s="14">
        <v>0.4</v>
      </c>
      <c r="N579" s="4"/>
      <c r="O579" s="4"/>
      <c r="P579" s="5"/>
      <c r="Q579" s="1"/>
      <c r="R579" s="2"/>
      <c r="S579" s="2"/>
      <c r="T579" s="1"/>
      <c r="U579" s="2"/>
      <c r="V579" s="2"/>
      <c r="W579" s="2"/>
    </row>
    <row r="580" spans="1:23">
      <c r="A580" s="13">
        <v>57.8</v>
      </c>
      <c r="B580" s="13">
        <f t="shared" si="0"/>
        <v>0.35396236416644594</v>
      </c>
      <c r="C580" s="13" t="str">
        <f>IF(B580&gt;=$S$2, A580, "")</f>
        <v/>
      </c>
      <c r="D580" s="13" t="str">
        <f>IF(AND(B580=1, B580&gt;=$S$2), A580, "")</f>
        <v/>
      </c>
      <c r="E580" s="13">
        <f>IF(B580&gt;=$S$2, B580, 0)</f>
        <v>0</v>
      </c>
      <c r="F580" s="13">
        <f t="shared" si="1"/>
        <v>0</v>
      </c>
      <c r="G580" s="13">
        <f t="shared" si="2"/>
        <v>0</v>
      </c>
      <c r="H580" s="13" t="str">
        <f>IF(B580&gt;=$T$2, A580, "")</f>
        <v/>
      </c>
      <c r="I580" s="14" t="e">
        <f t="shared" si="21"/>
        <v>#N/A</v>
      </c>
      <c r="J580" s="14">
        <v>0.5</v>
      </c>
      <c r="K580" s="14" t="e">
        <f t="shared" si="22"/>
        <v>#N/A</v>
      </c>
      <c r="L580" s="14">
        <v>0.4</v>
      </c>
      <c r="N580" s="4"/>
      <c r="O580" s="4"/>
      <c r="P580" s="5"/>
      <c r="Q580" s="1"/>
      <c r="R580" s="2"/>
      <c r="S580" s="2"/>
      <c r="T580" s="1"/>
      <c r="U580" s="2"/>
      <c r="V580" s="2"/>
      <c r="W580" s="2"/>
    </row>
    <row r="581" spans="1:23">
      <c r="A581" s="13">
        <v>57.9</v>
      </c>
      <c r="B581" s="13">
        <f t="shared" si="0"/>
        <v>0.34567983037370792</v>
      </c>
      <c r="C581" s="13" t="str">
        <f>IF(B581&gt;=$S$2, A581, "")</f>
        <v/>
      </c>
      <c r="D581" s="13" t="str">
        <f>IF(AND(B581=1, B581&gt;=$S$2), A581, "")</f>
        <v/>
      </c>
      <c r="E581" s="13">
        <f>IF(B581&gt;=$S$2, B581, 0)</f>
        <v>0</v>
      </c>
      <c r="F581" s="13">
        <f t="shared" si="1"/>
        <v>0</v>
      </c>
      <c r="G581" s="13">
        <f t="shared" si="2"/>
        <v>0</v>
      </c>
      <c r="H581" s="13" t="str">
        <f>IF(B581&gt;=$T$2, A581, "")</f>
        <v/>
      </c>
      <c r="I581" s="14" t="e">
        <f t="shared" si="21"/>
        <v>#N/A</v>
      </c>
      <c r="J581" s="14">
        <v>0.5</v>
      </c>
      <c r="K581" s="14" t="e">
        <f t="shared" si="22"/>
        <v>#N/A</v>
      </c>
      <c r="L581" s="14">
        <v>0.4</v>
      </c>
      <c r="N581" s="4"/>
      <c r="O581" s="4"/>
      <c r="P581" s="5"/>
      <c r="Q581" s="1"/>
      <c r="R581" s="2"/>
      <c r="S581" s="2"/>
      <c r="T581" s="1"/>
      <c r="U581" s="2"/>
      <c r="V581" s="2"/>
      <c r="W581" s="2"/>
    </row>
    <row r="582" spans="1:23">
      <c r="A582" s="13">
        <v>58</v>
      </c>
      <c r="B582" s="13">
        <f t="shared" si="0"/>
        <v>0.33739729658096995</v>
      </c>
      <c r="C582" s="13" t="str">
        <f>IF(B582&gt;=$S$2, A582, "")</f>
        <v/>
      </c>
      <c r="D582" s="13" t="str">
        <f>IF(AND(B582=1, B582&gt;=$S$2), A582, "")</f>
        <v/>
      </c>
      <c r="E582" s="13">
        <f>IF(B582&gt;=$S$2, B582, 0)</f>
        <v>0</v>
      </c>
      <c r="F582" s="13">
        <f t="shared" si="1"/>
        <v>0</v>
      </c>
      <c r="G582" s="13">
        <f t="shared" si="2"/>
        <v>0</v>
      </c>
      <c r="H582" s="13" t="str">
        <f>IF(B582&gt;=$T$2, A582, "")</f>
        <v/>
      </c>
      <c r="I582" s="14" t="e">
        <f t="shared" si="21"/>
        <v>#N/A</v>
      </c>
      <c r="J582" s="14">
        <v>0.5</v>
      </c>
      <c r="K582" s="14" t="e">
        <f t="shared" si="22"/>
        <v>#N/A</v>
      </c>
      <c r="L582" s="14">
        <v>0.4</v>
      </c>
      <c r="N582" s="4"/>
      <c r="O582" s="4"/>
      <c r="P582" s="5"/>
      <c r="Q582" s="1"/>
      <c r="R582" s="2"/>
      <c r="S582" s="2"/>
      <c r="T582" s="1"/>
      <c r="U582" s="2"/>
      <c r="V582" s="2"/>
      <c r="W582" s="2"/>
    </row>
    <row r="583" spans="1:23">
      <c r="A583" s="13">
        <v>58.1</v>
      </c>
      <c r="B583" s="13">
        <f t="shared" si="0"/>
        <v>0.32911476278823193</v>
      </c>
      <c r="C583" s="13" t="str">
        <f>IF(B583&gt;=$S$2, A583, "")</f>
        <v/>
      </c>
      <c r="D583" s="13" t="str">
        <f>IF(AND(B583=1, B583&gt;=$S$2), A583, "")</f>
        <v/>
      </c>
      <c r="E583" s="13">
        <f>IF(B583&gt;=$S$2, B583, 0)</f>
        <v>0</v>
      </c>
      <c r="F583" s="13">
        <f t="shared" si="1"/>
        <v>0</v>
      </c>
      <c r="G583" s="13">
        <f t="shared" si="2"/>
        <v>0</v>
      </c>
      <c r="H583" s="13" t="str">
        <f>IF(B583&gt;=$T$2, A583, "")</f>
        <v/>
      </c>
      <c r="I583" s="14" t="e">
        <f t="shared" si="21"/>
        <v>#N/A</v>
      </c>
      <c r="J583" s="14">
        <v>0.5</v>
      </c>
      <c r="K583" s="14" t="e">
        <f t="shared" si="22"/>
        <v>#N/A</v>
      </c>
      <c r="L583" s="14">
        <v>0.4</v>
      </c>
      <c r="N583" s="4"/>
      <c r="O583" s="4"/>
      <c r="P583" s="5"/>
      <c r="Q583" s="1"/>
      <c r="R583" s="2"/>
      <c r="S583" s="2"/>
      <c r="T583" s="1"/>
      <c r="U583" s="2"/>
      <c r="V583" s="2"/>
      <c r="W583" s="2"/>
    </row>
    <row r="584" spans="1:23">
      <c r="A584" s="13">
        <v>58.2</v>
      </c>
      <c r="B584" s="13">
        <f t="shared" si="0"/>
        <v>0.32083222899549396</v>
      </c>
      <c r="C584" s="13" t="str">
        <f>IF(B584&gt;=$S$2, A584, "")</f>
        <v/>
      </c>
      <c r="D584" s="13" t="str">
        <f>IF(AND(B584=1, B584&gt;=$S$2), A584, "")</f>
        <v/>
      </c>
      <c r="E584" s="13">
        <f>IF(B584&gt;=$S$2, B584, 0)</f>
        <v>0</v>
      </c>
      <c r="F584" s="13">
        <f t="shared" si="1"/>
        <v>0</v>
      </c>
      <c r="G584" s="13">
        <f t="shared" si="2"/>
        <v>0</v>
      </c>
      <c r="H584" s="13" t="str">
        <f>IF(B584&gt;=$T$2, A584, "")</f>
        <v/>
      </c>
      <c r="I584" s="14" t="e">
        <f t="shared" si="21"/>
        <v>#N/A</v>
      </c>
      <c r="J584" s="14">
        <v>0.5</v>
      </c>
      <c r="K584" s="14" t="e">
        <f t="shared" si="22"/>
        <v>#N/A</v>
      </c>
      <c r="L584" s="14">
        <v>0.4</v>
      </c>
      <c r="N584" s="4"/>
      <c r="O584" s="4"/>
      <c r="P584" s="5"/>
      <c r="Q584" s="1"/>
      <c r="R584" s="2"/>
      <c r="S584" s="2"/>
      <c r="T584" s="1"/>
      <c r="U584" s="2"/>
      <c r="V584" s="2"/>
      <c r="W584" s="2"/>
    </row>
    <row r="585" spans="1:23">
      <c r="A585" s="13">
        <v>58.3</v>
      </c>
      <c r="B585" s="13">
        <f t="shared" si="0"/>
        <v>0.31254969520275655</v>
      </c>
      <c r="C585" s="13" t="str">
        <f>IF(B585&gt;=$S$2, A585, "")</f>
        <v/>
      </c>
      <c r="D585" s="13" t="str">
        <f>IF(AND(B585=1, B585&gt;=$S$2), A585, "")</f>
        <v/>
      </c>
      <c r="E585" s="13">
        <f>IF(B585&gt;=$S$2, B585, 0)</f>
        <v>0</v>
      </c>
      <c r="F585" s="13">
        <f t="shared" si="1"/>
        <v>0</v>
      </c>
      <c r="G585" s="13">
        <f t="shared" si="2"/>
        <v>0</v>
      </c>
      <c r="H585" s="13" t="str">
        <f>IF(B585&gt;=$T$2, A585, "")</f>
        <v/>
      </c>
      <c r="I585" s="14" t="e">
        <f t="shared" si="21"/>
        <v>#N/A</v>
      </c>
      <c r="J585" s="14">
        <v>0.5</v>
      </c>
      <c r="K585" s="14" t="e">
        <f t="shared" si="22"/>
        <v>#N/A</v>
      </c>
      <c r="L585" s="14">
        <v>0.4</v>
      </c>
      <c r="N585" s="4"/>
      <c r="O585" s="4"/>
      <c r="P585" s="5"/>
      <c r="Q585" s="1"/>
      <c r="R585" s="2"/>
      <c r="S585" s="2"/>
      <c r="T585" s="1"/>
      <c r="U585" s="2"/>
      <c r="V585" s="2"/>
      <c r="W585" s="2"/>
    </row>
    <row r="586" spans="1:23">
      <c r="A586" s="13">
        <v>58.4</v>
      </c>
      <c r="B586" s="13">
        <f t="shared" si="0"/>
        <v>0.30426716141001858</v>
      </c>
      <c r="C586" s="13" t="str">
        <f>IF(B586&gt;=$S$2, A586, "")</f>
        <v/>
      </c>
      <c r="D586" s="13" t="str">
        <f>IF(AND(B586=1, B586&gt;=$S$2), A586, "")</f>
        <v/>
      </c>
      <c r="E586" s="13">
        <f>IF(B586&gt;=$S$2, B586, 0)</f>
        <v>0</v>
      </c>
      <c r="F586" s="13">
        <f t="shared" si="1"/>
        <v>0</v>
      </c>
      <c r="G586" s="13">
        <f t="shared" si="2"/>
        <v>0</v>
      </c>
      <c r="H586" s="13" t="str">
        <f>IF(B586&gt;=$T$2, A586, "")</f>
        <v/>
      </c>
      <c r="I586" s="14" t="e">
        <f t="shared" si="21"/>
        <v>#N/A</v>
      </c>
      <c r="J586" s="14">
        <v>0.5</v>
      </c>
      <c r="K586" s="14" t="e">
        <f t="shared" si="22"/>
        <v>#N/A</v>
      </c>
      <c r="L586" s="14">
        <v>0.4</v>
      </c>
      <c r="N586" s="4"/>
      <c r="O586" s="4"/>
      <c r="P586" s="5"/>
      <c r="Q586" s="1"/>
      <c r="R586" s="2"/>
      <c r="S586" s="2"/>
      <c r="T586" s="1"/>
      <c r="U586" s="2"/>
      <c r="V586" s="2"/>
      <c r="W586" s="2"/>
    </row>
    <row r="587" spans="1:23">
      <c r="A587" s="13">
        <v>58.5</v>
      </c>
      <c r="B587" s="13">
        <f t="shared" si="0"/>
        <v>0.29598462761728056</v>
      </c>
      <c r="C587" s="13" t="str">
        <f>IF(B587&gt;=$S$2, A587, "")</f>
        <v/>
      </c>
      <c r="D587" s="13" t="str">
        <f>IF(AND(B587=1, B587&gt;=$S$2), A587, "")</f>
        <v/>
      </c>
      <c r="E587" s="13">
        <f>IF(B587&gt;=$S$2, B587, 0)</f>
        <v>0</v>
      </c>
      <c r="F587" s="13">
        <f t="shared" si="1"/>
        <v>0</v>
      </c>
      <c r="G587" s="13">
        <f t="shared" si="2"/>
        <v>0</v>
      </c>
      <c r="H587" s="13" t="str">
        <f>IF(B587&gt;=$T$2, A587, "")</f>
        <v/>
      </c>
      <c r="I587" s="14" t="e">
        <f t="shared" si="21"/>
        <v>#N/A</v>
      </c>
      <c r="J587" s="14">
        <v>0.5</v>
      </c>
      <c r="K587" s="14" t="e">
        <f t="shared" si="22"/>
        <v>#N/A</v>
      </c>
      <c r="L587" s="14">
        <v>0.4</v>
      </c>
      <c r="N587" s="4"/>
      <c r="O587" s="4"/>
      <c r="P587" s="5"/>
      <c r="Q587" s="1"/>
      <c r="R587" s="2"/>
      <c r="S587" s="2"/>
      <c r="T587" s="1"/>
      <c r="U587" s="2"/>
      <c r="V587" s="2"/>
      <c r="W587" s="2"/>
    </row>
    <row r="588" spans="1:23">
      <c r="A588" s="13">
        <v>58.6</v>
      </c>
      <c r="B588" s="13">
        <f t="shared" si="0"/>
        <v>0.28770209382454259</v>
      </c>
      <c r="C588" s="13" t="str">
        <f>IF(B588&gt;=$S$2, A588, "")</f>
        <v/>
      </c>
      <c r="D588" s="13" t="str">
        <f>IF(AND(B588=1, B588&gt;=$S$2), A588, "")</f>
        <v/>
      </c>
      <c r="E588" s="13">
        <f>IF(B588&gt;=$S$2, B588, 0)</f>
        <v>0</v>
      </c>
      <c r="F588" s="13">
        <f t="shared" si="1"/>
        <v>0</v>
      </c>
      <c r="G588" s="13">
        <f t="shared" si="2"/>
        <v>0</v>
      </c>
      <c r="H588" s="13" t="str">
        <f>IF(B588&gt;=$T$2, A588, "")</f>
        <v/>
      </c>
      <c r="I588" s="14" t="e">
        <f t="shared" si="21"/>
        <v>#N/A</v>
      </c>
      <c r="J588" s="14">
        <v>0.5</v>
      </c>
      <c r="K588" s="14" t="e">
        <f t="shared" si="22"/>
        <v>#N/A</v>
      </c>
      <c r="L588" s="14">
        <v>0.4</v>
      </c>
      <c r="N588" s="4"/>
      <c r="O588" s="4"/>
      <c r="P588" s="5"/>
      <c r="Q588" s="1"/>
      <c r="R588" s="2"/>
      <c r="S588" s="2"/>
      <c r="T588" s="1"/>
      <c r="U588" s="2"/>
      <c r="V588" s="2"/>
      <c r="W588" s="2"/>
    </row>
    <row r="589" spans="1:23">
      <c r="A589" s="13">
        <v>58.7</v>
      </c>
      <c r="B589" s="13">
        <f t="shared" si="0"/>
        <v>0.27941956003180457</v>
      </c>
      <c r="C589" s="13" t="str">
        <f>IF(B589&gt;=$S$2, A589, "")</f>
        <v/>
      </c>
      <c r="D589" s="13" t="str">
        <f>IF(AND(B589=1, B589&gt;=$S$2), A589, "")</f>
        <v/>
      </c>
      <c r="E589" s="13">
        <f>IF(B589&gt;=$S$2, B589, 0)</f>
        <v>0</v>
      </c>
      <c r="F589" s="13">
        <f t="shared" si="1"/>
        <v>0</v>
      </c>
      <c r="G589" s="13">
        <f t="shared" si="2"/>
        <v>0</v>
      </c>
      <c r="H589" s="13" t="str">
        <f>IF(B589&gt;=$T$2, A589, "")</f>
        <v/>
      </c>
      <c r="I589" s="14" t="e">
        <f t="shared" si="21"/>
        <v>#N/A</v>
      </c>
      <c r="J589" s="14">
        <v>0.5</v>
      </c>
      <c r="K589" s="14" t="e">
        <f t="shared" si="22"/>
        <v>#N/A</v>
      </c>
      <c r="L589" s="14">
        <v>0.4</v>
      </c>
      <c r="N589" s="4"/>
      <c r="O589" s="4"/>
      <c r="P589" s="5"/>
      <c r="Q589" s="1"/>
      <c r="R589" s="2"/>
      <c r="S589" s="2"/>
      <c r="T589" s="1"/>
      <c r="U589" s="2"/>
      <c r="V589" s="2"/>
      <c r="W589" s="2"/>
    </row>
    <row r="590" spans="1:23">
      <c r="A590" s="13">
        <v>58.8</v>
      </c>
      <c r="B590" s="13">
        <f t="shared" si="0"/>
        <v>0.27113702623906721</v>
      </c>
      <c r="C590" s="13" t="str">
        <f>IF(B590&gt;=$S$2, A590, "")</f>
        <v/>
      </c>
      <c r="D590" s="13" t="str">
        <f>IF(AND(B590=1, B590&gt;=$S$2), A590, "")</f>
        <v/>
      </c>
      <c r="E590" s="13">
        <f>IF(B590&gt;=$S$2, B590, 0)</f>
        <v>0</v>
      </c>
      <c r="F590" s="13">
        <f t="shared" si="1"/>
        <v>0</v>
      </c>
      <c r="G590" s="13">
        <f t="shared" si="2"/>
        <v>0</v>
      </c>
      <c r="H590" s="13" t="str">
        <f>IF(B590&gt;=$T$2, A590, "")</f>
        <v/>
      </c>
      <c r="I590" s="14" t="e">
        <f t="shared" si="21"/>
        <v>#N/A</v>
      </c>
      <c r="J590" s="14">
        <v>0.5</v>
      </c>
      <c r="K590" s="14" t="e">
        <f t="shared" si="22"/>
        <v>#N/A</v>
      </c>
      <c r="L590" s="14">
        <v>0.4</v>
      </c>
      <c r="N590" s="4"/>
      <c r="O590" s="4"/>
      <c r="P590" s="5"/>
      <c r="Q590" s="1"/>
      <c r="R590" s="2"/>
      <c r="S590" s="2"/>
      <c r="T590" s="1"/>
      <c r="U590" s="2"/>
      <c r="V590" s="2"/>
      <c r="W590" s="2"/>
    </row>
    <row r="591" spans="1:23">
      <c r="A591" s="13">
        <v>58.9</v>
      </c>
      <c r="B591" s="13">
        <f t="shared" si="0"/>
        <v>0.26285449244632919</v>
      </c>
      <c r="C591" s="13" t="str">
        <f>IF(B591&gt;=$S$2, A591, "")</f>
        <v/>
      </c>
      <c r="D591" s="13" t="str">
        <f>IF(AND(B591=1, B591&gt;=$S$2), A591, "")</f>
        <v/>
      </c>
      <c r="E591" s="13">
        <f>IF(B591&gt;=$S$2, B591, 0)</f>
        <v>0</v>
      </c>
      <c r="F591" s="13">
        <f t="shared" si="1"/>
        <v>0</v>
      </c>
      <c r="G591" s="13">
        <f t="shared" si="2"/>
        <v>0</v>
      </c>
      <c r="H591" s="13" t="str">
        <f>IF(B591&gt;=$T$2, A591, "")</f>
        <v/>
      </c>
      <c r="I591" s="14" t="e">
        <f t="shared" si="21"/>
        <v>#N/A</v>
      </c>
      <c r="J591" s="14">
        <v>0.5</v>
      </c>
      <c r="K591" s="14" t="e">
        <f t="shared" si="22"/>
        <v>#N/A</v>
      </c>
      <c r="L591" s="14">
        <v>0.4</v>
      </c>
      <c r="N591" s="4"/>
      <c r="O591" s="4"/>
      <c r="P591" s="5"/>
      <c r="Q591" s="1"/>
      <c r="R591" s="2"/>
      <c r="S591" s="2"/>
      <c r="T591" s="1"/>
      <c r="U591" s="2"/>
      <c r="V591" s="2"/>
      <c r="W591" s="2"/>
    </row>
    <row r="592" spans="1:23">
      <c r="A592" s="13">
        <v>59</v>
      </c>
      <c r="B592" s="13">
        <f t="shared" si="0"/>
        <v>0.25457195865359122</v>
      </c>
      <c r="C592" s="13" t="str">
        <f>IF(B592&gt;=$S$2, A592, "")</f>
        <v/>
      </c>
      <c r="D592" s="13" t="str">
        <f>IF(AND(B592=1, B592&gt;=$S$2), A592, "")</f>
        <v/>
      </c>
      <c r="E592" s="13">
        <f>IF(B592&gt;=$S$2, B592, 0)</f>
        <v>0</v>
      </c>
      <c r="F592" s="13">
        <f t="shared" si="1"/>
        <v>0</v>
      </c>
      <c r="G592" s="13">
        <f t="shared" si="2"/>
        <v>0</v>
      </c>
      <c r="H592" s="13" t="str">
        <f>IF(B592&gt;=$T$2, A592, "")</f>
        <v/>
      </c>
      <c r="I592" s="14" t="e">
        <f t="shared" si="21"/>
        <v>#N/A</v>
      </c>
      <c r="J592" s="14">
        <v>0.5</v>
      </c>
      <c r="K592" s="14" t="e">
        <f t="shared" si="22"/>
        <v>#N/A</v>
      </c>
      <c r="L592" s="14">
        <v>0.4</v>
      </c>
      <c r="N592" s="4"/>
      <c r="O592" s="4"/>
      <c r="P592" s="5"/>
      <c r="Q592" s="1"/>
      <c r="R592" s="2"/>
      <c r="S592" s="2"/>
      <c r="T592" s="1"/>
      <c r="U592" s="2"/>
      <c r="V592" s="2"/>
      <c r="W592" s="2"/>
    </row>
    <row r="593" spans="1:23">
      <c r="A593" s="13">
        <v>59.1</v>
      </c>
      <c r="B593" s="13">
        <f t="shared" si="0"/>
        <v>0.24628942486085323</v>
      </c>
      <c r="C593" s="13" t="str">
        <f>IF(B593&gt;=$S$2, A593, "")</f>
        <v/>
      </c>
      <c r="D593" s="13" t="str">
        <f>IF(AND(B593=1, B593&gt;=$S$2), A593, "")</f>
        <v/>
      </c>
      <c r="E593" s="13">
        <f>IF(B593&gt;=$S$2, B593, 0)</f>
        <v>0</v>
      </c>
      <c r="F593" s="13">
        <f t="shared" si="1"/>
        <v>0</v>
      </c>
      <c r="G593" s="13">
        <f t="shared" si="2"/>
        <v>0</v>
      </c>
      <c r="H593" s="13" t="str">
        <f>IF(B593&gt;=$T$2, A593, "")</f>
        <v/>
      </c>
      <c r="I593" s="14" t="e">
        <f t="shared" si="21"/>
        <v>#N/A</v>
      </c>
      <c r="J593" s="14">
        <v>0.5</v>
      </c>
      <c r="K593" s="14" t="e">
        <f t="shared" si="22"/>
        <v>#N/A</v>
      </c>
      <c r="L593" s="14">
        <v>0.4</v>
      </c>
      <c r="N593" s="4"/>
      <c r="O593" s="4"/>
      <c r="P593" s="5"/>
      <c r="Q593" s="1"/>
      <c r="R593" s="2"/>
      <c r="S593" s="2"/>
      <c r="T593" s="1"/>
      <c r="U593" s="2"/>
      <c r="V593" s="2"/>
      <c r="W593" s="2"/>
    </row>
    <row r="594" spans="1:23">
      <c r="A594" s="13">
        <v>59.2</v>
      </c>
      <c r="B594" s="13">
        <f t="shared" si="0"/>
        <v>0.23800689106811523</v>
      </c>
      <c r="C594" s="13" t="str">
        <f>IF(B594&gt;=$S$2, A594, "")</f>
        <v/>
      </c>
      <c r="D594" s="13" t="str">
        <f>IF(AND(B594=1, B594&gt;=$S$2), A594, "")</f>
        <v/>
      </c>
      <c r="E594" s="13">
        <f>IF(B594&gt;=$S$2, B594, 0)</f>
        <v>0</v>
      </c>
      <c r="F594" s="13">
        <f t="shared" si="1"/>
        <v>0</v>
      </c>
      <c r="G594" s="13">
        <f t="shared" si="2"/>
        <v>0</v>
      </c>
      <c r="H594" s="13" t="str">
        <f>IF(B594&gt;=$T$2, A594, "")</f>
        <v/>
      </c>
      <c r="I594" s="14" t="e">
        <f t="shared" si="21"/>
        <v>#N/A</v>
      </c>
      <c r="J594" s="14">
        <v>0.5</v>
      </c>
      <c r="K594" s="14" t="e">
        <f t="shared" si="22"/>
        <v>#N/A</v>
      </c>
      <c r="L594" s="14">
        <v>0.4</v>
      </c>
      <c r="N594" s="4"/>
      <c r="O594" s="4"/>
      <c r="P594" s="5"/>
      <c r="Q594" s="1"/>
      <c r="R594" s="2"/>
      <c r="S594" s="2"/>
      <c r="T594" s="1"/>
      <c r="U594" s="2"/>
      <c r="V594" s="2"/>
      <c r="W594" s="2"/>
    </row>
    <row r="595" spans="1:23">
      <c r="A595" s="13">
        <v>59.3</v>
      </c>
      <c r="B595" s="13">
        <f t="shared" si="0"/>
        <v>0.22972435727537782</v>
      </c>
      <c r="C595" s="13" t="str">
        <f>IF(B595&gt;=$S$2, A595, "")</f>
        <v/>
      </c>
      <c r="D595" s="13" t="str">
        <f>IF(AND(B595=1, B595&gt;=$S$2), A595, "")</f>
        <v/>
      </c>
      <c r="E595" s="13">
        <f>IF(B595&gt;=$S$2, B595, 0)</f>
        <v>0</v>
      </c>
      <c r="F595" s="13">
        <f t="shared" si="1"/>
        <v>0</v>
      </c>
      <c r="G595" s="13">
        <f t="shared" si="2"/>
        <v>0</v>
      </c>
      <c r="H595" s="13" t="str">
        <f>IF(B595&gt;=$T$2, A595, "")</f>
        <v/>
      </c>
      <c r="I595" s="14" t="e">
        <f t="shared" si="21"/>
        <v>#N/A</v>
      </c>
      <c r="J595" s="14">
        <v>0.5</v>
      </c>
      <c r="K595" s="14" t="e">
        <f t="shared" si="22"/>
        <v>#N/A</v>
      </c>
      <c r="L595" s="14">
        <v>0.4</v>
      </c>
      <c r="N595" s="4"/>
      <c r="O595" s="4"/>
      <c r="P595" s="5"/>
      <c r="Q595" s="1"/>
      <c r="R595" s="2"/>
      <c r="S595" s="2"/>
      <c r="T595" s="1"/>
      <c r="U595" s="2"/>
      <c r="V595" s="2"/>
      <c r="W595" s="2"/>
    </row>
    <row r="596" spans="1:23">
      <c r="A596" s="13">
        <v>59.4</v>
      </c>
      <c r="B596" s="13">
        <f t="shared" si="0"/>
        <v>0.22144182348263983</v>
      </c>
      <c r="C596" s="13" t="str">
        <f>IF(B596&gt;=$S$2, A596, "")</f>
        <v/>
      </c>
      <c r="D596" s="13" t="str">
        <f>IF(AND(B596=1, B596&gt;=$S$2), A596, "")</f>
        <v/>
      </c>
      <c r="E596" s="13">
        <f>IF(B596&gt;=$S$2, B596, 0)</f>
        <v>0</v>
      </c>
      <c r="F596" s="13">
        <f t="shared" si="1"/>
        <v>0</v>
      </c>
      <c r="G596" s="13">
        <f t="shared" si="2"/>
        <v>0</v>
      </c>
      <c r="H596" s="13" t="str">
        <f>IF(B596&gt;=$T$2, A596, "")</f>
        <v/>
      </c>
      <c r="I596" s="14" t="e">
        <f t="shared" si="21"/>
        <v>#N/A</v>
      </c>
      <c r="J596" s="14">
        <v>0.5</v>
      </c>
      <c r="K596" s="14" t="e">
        <f t="shared" si="22"/>
        <v>#N/A</v>
      </c>
      <c r="L596" s="14">
        <v>0.4</v>
      </c>
      <c r="N596" s="4"/>
      <c r="O596" s="4"/>
      <c r="P596" s="5"/>
      <c r="Q596" s="1"/>
      <c r="R596" s="2"/>
      <c r="S596" s="2"/>
      <c r="T596" s="1"/>
      <c r="U596" s="2"/>
      <c r="V596" s="2"/>
      <c r="W596" s="2"/>
    </row>
    <row r="597" spans="1:23">
      <c r="A597" s="13">
        <v>59.5</v>
      </c>
      <c r="B597" s="13">
        <f t="shared" si="0"/>
        <v>0.21315928968990183</v>
      </c>
      <c r="C597" s="13" t="str">
        <f>IF(B597&gt;=$S$2, A597, "")</f>
        <v/>
      </c>
      <c r="D597" s="13" t="str">
        <f>IF(AND(B597=1, B597&gt;=$S$2), A597, "")</f>
        <v/>
      </c>
      <c r="E597" s="13">
        <f>IF(B597&gt;=$S$2, B597, 0)</f>
        <v>0</v>
      </c>
      <c r="F597" s="13">
        <f t="shared" si="1"/>
        <v>0</v>
      </c>
      <c r="G597" s="13">
        <f t="shared" si="2"/>
        <v>0</v>
      </c>
      <c r="H597" s="13" t="str">
        <f>IF(B597&gt;=$T$2, A597, "")</f>
        <v/>
      </c>
      <c r="I597" s="14" t="e">
        <f t="shared" si="21"/>
        <v>#N/A</v>
      </c>
      <c r="J597" s="14">
        <v>0.5</v>
      </c>
      <c r="K597" s="14" t="e">
        <f t="shared" si="22"/>
        <v>#N/A</v>
      </c>
      <c r="L597" s="14">
        <v>0.4</v>
      </c>
      <c r="N597" s="4"/>
      <c r="O597" s="4"/>
      <c r="P597" s="5"/>
      <c r="Q597" s="1"/>
      <c r="R597" s="2"/>
      <c r="S597" s="2"/>
      <c r="T597" s="1"/>
      <c r="U597" s="2"/>
      <c r="V597" s="2"/>
      <c r="W597" s="2"/>
    </row>
    <row r="598" spans="1:23">
      <c r="A598" s="13">
        <v>59.6</v>
      </c>
      <c r="B598" s="13">
        <f t="shared" si="0"/>
        <v>0.20487675589716384</v>
      </c>
      <c r="C598" s="13" t="str">
        <f>IF(B598&gt;=$S$2, A598, "")</f>
        <v/>
      </c>
      <c r="D598" s="13" t="str">
        <f>IF(AND(B598=1, B598&gt;=$S$2), A598, "")</f>
        <v/>
      </c>
      <c r="E598" s="13">
        <f>IF(B598&gt;=$S$2, B598, 0)</f>
        <v>0</v>
      </c>
      <c r="F598" s="13">
        <f t="shared" si="1"/>
        <v>0</v>
      </c>
      <c r="G598" s="13">
        <f t="shared" si="2"/>
        <v>0</v>
      </c>
      <c r="H598" s="13" t="str">
        <f>IF(B598&gt;=$T$2, A598, "")</f>
        <v/>
      </c>
      <c r="I598" s="14" t="e">
        <f t="shared" si="21"/>
        <v>#N/A</v>
      </c>
      <c r="J598" s="14">
        <v>0.5</v>
      </c>
      <c r="K598" s="14" t="e">
        <f t="shared" si="22"/>
        <v>#N/A</v>
      </c>
      <c r="L598" s="14">
        <v>0.4</v>
      </c>
      <c r="N598" s="4"/>
      <c r="O598" s="4"/>
      <c r="P598" s="5"/>
      <c r="Q598" s="1"/>
      <c r="R598" s="2"/>
      <c r="S598" s="2"/>
      <c r="T598" s="1"/>
      <c r="U598" s="2"/>
      <c r="V598" s="2"/>
      <c r="W598" s="2"/>
    </row>
    <row r="599" spans="1:23">
      <c r="A599" s="13">
        <v>59.7</v>
      </c>
      <c r="B599" s="13">
        <f t="shared" si="0"/>
        <v>0.19659422210442584</v>
      </c>
      <c r="C599" s="13" t="str">
        <f>IF(B599&gt;=$S$2, A599, "")</f>
        <v/>
      </c>
      <c r="D599" s="13" t="str">
        <f>IF(AND(B599=1, B599&gt;=$S$2), A599, "")</f>
        <v/>
      </c>
      <c r="E599" s="13">
        <f>IF(B599&gt;=$S$2, B599, 0)</f>
        <v>0</v>
      </c>
      <c r="F599" s="13">
        <f t="shared" si="1"/>
        <v>0</v>
      </c>
      <c r="G599" s="13">
        <f t="shared" si="2"/>
        <v>0</v>
      </c>
      <c r="H599" s="13" t="str">
        <f>IF(B599&gt;=$T$2, A599, "")</f>
        <v/>
      </c>
      <c r="I599" s="14" t="e">
        <f t="shared" si="21"/>
        <v>#N/A</v>
      </c>
      <c r="J599" s="14">
        <v>0.5</v>
      </c>
      <c r="K599" s="14" t="e">
        <f t="shared" si="22"/>
        <v>#N/A</v>
      </c>
      <c r="L599" s="14">
        <v>0.4</v>
      </c>
      <c r="N599" s="4"/>
      <c r="O599" s="4"/>
      <c r="P599" s="5"/>
      <c r="Q599" s="1"/>
      <c r="R599" s="2"/>
      <c r="S599" s="2"/>
      <c r="T599" s="1"/>
      <c r="U599" s="2"/>
      <c r="V599" s="2"/>
      <c r="W599" s="2"/>
    </row>
    <row r="600" spans="1:23">
      <c r="A600" s="13">
        <v>59.8</v>
      </c>
      <c r="B600" s="13">
        <f t="shared" si="0"/>
        <v>0.18831168831168846</v>
      </c>
      <c r="C600" s="13" t="str">
        <f>IF(B600&gt;=$S$2, A600, "")</f>
        <v/>
      </c>
      <c r="D600" s="13" t="str">
        <f>IF(AND(B600=1, B600&gt;=$S$2), A600, "")</f>
        <v/>
      </c>
      <c r="E600" s="13">
        <f>IF(B600&gt;=$S$2, B600, 0)</f>
        <v>0</v>
      </c>
      <c r="F600" s="13">
        <f t="shared" si="1"/>
        <v>0</v>
      </c>
      <c r="G600" s="13">
        <f t="shared" si="2"/>
        <v>0</v>
      </c>
      <c r="H600" s="13" t="str">
        <f>IF(B600&gt;=$T$2, A600, "")</f>
        <v/>
      </c>
      <c r="I600" s="14" t="e">
        <f t="shared" si="21"/>
        <v>#N/A</v>
      </c>
      <c r="J600" s="14">
        <v>0.5</v>
      </c>
      <c r="K600" s="14" t="e">
        <f t="shared" si="22"/>
        <v>#N/A</v>
      </c>
      <c r="L600" s="14">
        <v>0.4</v>
      </c>
      <c r="N600" s="4"/>
      <c r="O600" s="4"/>
      <c r="P600" s="5"/>
      <c r="Q600" s="1"/>
      <c r="R600" s="2"/>
      <c r="S600" s="2"/>
      <c r="T600" s="1"/>
      <c r="U600" s="2"/>
      <c r="V600" s="2"/>
      <c r="W600" s="2"/>
    </row>
    <row r="601" spans="1:23">
      <c r="A601" s="13">
        <v>59.9</v>
      </c>
      <c r="B601" s="13">
        <f t="shared" si="0"/>
        <v>0.18002915451895046</v>
      </c>
      <c r="C601" s="13" t="str">
        <f>IF(B601&gt;=$S$2, A601, "")</f>
        <v/>
      </c>
      <c r="D601" s="13" t="str">
        <f>IF(AND(B601=1, B601&gt;=$S$2), A601, "")</f>
        <v/>
      </c>
      <c r="E601" s="13">
        <f>IF(B601&gt;=$S$2, B601, 0)</f>
        <v>0</v>
      </c>
      <c r="F601" s="13">
        <f t="shared" si="1"/>
        <v>0</v>
      </c>
      <c r="G601" s="13">
        <f t="shared" si="2"/>
        <v>0</v>
      </c>
      <c r="H601" s="13" t="str">
        <f>IF(B601&gt;=$T$2, A601, "")</f>
        <v/>
      </c>
      <c r="I601" s="14" t="e">
        <f t="shared" si="21"/>
        <v>#N/A</v>
      </c>
      <c r="J601" s="14">
        <v>0.5</v>
      </c>
      <c r="K601" s="14" t="e">
        <f t="shared" si="22"/>
        <v>#N/A</v>
      </c>
      <c r="L601" s="14">
        <v>0.4</v>
      </c>
      <c r="N601" s="4"/>
      <c r="O601" s="4"/>
      <c r="P601" s="5"/>
      <c r="Q601" s="1"/>
      <c r="R601" s="2"/>
      <c r="S601" s="2"/>
      <c r="T601" s="1"/>
      <c r="U601" s="2"/>
      <c r="V601" s="2"/>
      <c r="W601" s="2"/>
    </row>
    <row r="602" spans="1:23">
      <c r="A602" s="13">
        <v>60</v>
      </c>
      <c r="B602" s="13">
        <f t="shared" si="0"/>
        <v>0.17174662072621247</v>
      </c>
      <c r="C602" s="13" t="str">
        <f>IF(B602&gt;=$S$2, A602, "")</f>
        <v/>
      </c>
      <c r="D602" s="13" t="str">
        <f>IF(AND(B602=1, B602&gt;=$S$2), A602, "")</f>
        <v/>
      </c>
      <c r="E602" s="13">
        <f>IF(B602&gt;=$S$2, B602, 0)</f>
        <v>0</v>
      </c>
      <c r="F602" s="13">
        <f t="shared" si="1"/>
        <v>0</v>
      </c>
      <c r="G602" s="13">
        <f t="shared" si="2"/>
        <v>0</v>
      </c>
      <c r="H602" s="13" t="str">
        <f>IF(B602&gt;=$T$2, A602, "")</f>
        <v/>
      </c>
      <c r="I602" s="14" t="e">
        <f t="shared" si="21"/>
        <v>#N/A</v>
      </c>
      <c r="J602" s="14">
        <v>0.5</v>
      </c>
      <c r="K602" s="14" t="e">
        <f t="shared" si="22"/>
        <v>#N/A</v>
      </c>
      <c r="L602" s="14">
        <v>0.4</v>
      </c>
      <c r="N602" s="4"/>
      <c r="O602" s="4"/>
      <c r="P602" s="5"/>
      <c r="Q602" s="1"/>
      <c r="R602" s="2"/>
      <c r="S602" s="2"/>
      <c r="T602" s="1"/>
      <c r="U602" s="2"/>
      <c r="V602" s="2"/>
      <c r="W602" s="2"/>
    </row>
    <row r="603" spans="1:23">
      <c r="A603" s="13">
        <v>60.1</v>
      </c>
      <c r="B603" s="13">
        <f t="shared" si="0"/>
        <v>0.16346408693347447</v>
      </c>
      <c r="C603" s="13" t="str">
        <f>IF(B603&gt;=$S$2, A603, "")</f>
        <v/>
      </c>
      <c r="D603" s="13" t="str">
        <f>IF(AND(B603=1, B603&gt;=$S$2), A603, "")</f>
        <v/>
      </c>
      <c r="E603" s="13">
        <f>IF(B603&gt;=$S$2, B603, 0)</f>
        <v>0</v>
      </c>
      <c r="F603" s="13">
        <f t="shared" si="1"/>
        <v>0</v>
      </c>
      <c r="G603" s="13">
        <f t="shared" si="2"/>
        <v>0</v>
      </c>
      <c r="H603" s="13" t="str">
        <f>IF(B603&gt;=$T$2, A603, "")</f>
        <v/>
      </c>
      <c r="I603" s="14" t="e">
        <f t="shared" si="21"/>
        <v>#N/A</v>
      </c>
      <c r="J603" s="14">
        <v>0.5</v>
      </c>
      <c r="K603" s="14" t="e">
        <f t="shared" si="22"/>
        <v>#N/A</v>
      </c>
      <c r="L603" s="14">
        <v>0.4</v>
      </c>
      <c r="N603" s="4"/>
      <c r="O603" s="4"/>
      <c r="P603" s="5"/>
      <c r="Q603" s="1"/>
      <c r="R603" s="2"/>
      <c r="S603" s="2"/>
      <c r="T603" s="1"/>
      <c r="U603" s="2"/>
      <c r="V603" s="2"/>
      <c r="W603" s="2"/>
    </row>
    <row r="604" spans="1:23">
      <c r="A604" s="13">
        <v>60.2</v>
      </c>
      <c r="B604" s="13">
        <f t="shared" si="0"/>
        <v>0.15518155314073648</v>
      </c>
      <c r="C604" s="13" t="str">
        <f>IF(B604&gt;=$S$2, A604, "")</f>
        <v/>
      </c>
      <c r="D604" s="13" t="str">
        <f>IF(AND(B604=1, B604&gt;=$S$2), A604, "")</f>
        <v/>
      </c>
      <c r="E604" s="13">
        <f>IF(B604&gt;=$S$2, B604, 0)</f>
        <v>0</v>
      </c>
      <c r="F604" s="13">
        <f t="shared" si="1"/>
        <v>0</v>
      </c>
      <c r="G604" s="13">
        <f t="shared" si="2"/>
        <v>0</v>
      </c>
      <c r="H604" s="13" t="str">
        <f>IF(B604&gt;=$T$2, A604, "")</f>
        <v/>
      </c>
      <c r="I604" s="14" t="e">
        <f t="shared" si="21"/>
        <v>#N/A</v>
      </c>
      <c r="J604" s="14">
        <v>0.5</v>
      </c>
      <c r="K604" s="14" t="e">
        <f t="shared" si="22"/>
        <v>#N/A</v>
      </c>
      <c r="L604" s="14">
        <v>0.4</v>
      </c>
      <c r="N604" s="4"/>
      <c r="O604" s="4"/>
      <c r="P604" s="5"/>
      <c r="Q604" s="1"/>
      <c r="R604" s="2"/>
      <c r="S604" s="2"/>
      <c r="T604" s="1"/>
      <c r="U604" s="2"/>
      <c r="V604" s="2"/>
      <c r="W604" s="2"/>
    </row>
    <row r="605" spans="1:23">
      <c r="A605" s="13">
        <v>60.3</v>
      </c>
      <c r="B605" s="13">
        <f t="shared" si="0"/>
        <v>0.14689901934799909</v>
      </c>
      <c r="C605" s="13" t="str">
        <f>IF(B605&gt;=$S$2, A605, "")</f>
        <v/>
      </c>
      <c r="D605" s="13" t="str">
        <f>IF(AND(B605=1, B605&gt;=$S$2), A605, "")</f>
        <v/>
      </c>
      <c r="E605" s="13">
        <f>IF(B605&gt;=$S$2, B605, 0)</f>
        <v>0</v>
      </c>
      <c r="F605" s="13">
        <f t="shared" si="1"/>
        <v>0</v>
      </c>
      <c r="G605" s="13">
        <f t="shared" si="2"/>
        <v>0</v>
      </c>
      <c r="H605" s="13" t="str">
        <f>IF(B605&gt;=$T$2, A605, "")</f>
        <v/>
      </c>
      <c r="I605" s="14" t="e">
        <f t="shared" si="21"/>
        <v>#N/A</v>
      </c>
      <c r="J605" s="14">
        <v>0.5</v>
      </c>
      <c r="K605" s="14" t="e">
        <f t="shared" si="22"/>
        <v>#N/A</v>
      </c>
      <c r="L605" s="14">
        <v>0.4</v>
      </c>
      <c r="N605" s="4"/>
      <c r="O605" s="4"/>
      <c r="P605" s="5"/>
      <c r="Q605" s="1"/>
      <c r="R605" s="2"/>
      <c r="S605" s="2"/>
      <c r="T605" s="1"/>
      <c r="U605" s="2"/>
      <c r="V605" s="2"/>
      <c r="W605" s="2"/>
    </row>
    <row r="606" spans="1:23">
      <c r="A606" s="13">
        <v>60.4</v>
      </c>
      <c r="B606" s="13">
        <f t="shared" si="0"/>
        <v>0.1386164855552611</v>
      </c>
      <c r="C606" s="13" t="str">
        <f>IF(B606&gt;=$S$2, A606, "")</f>
        <v/>
      </c>
      <c r="D606" s="13" t="str">
        <f>IF(AND(B606=1, B606&gt;=$S$2), A606, "")</f>
        <v/>
      </c>
      <c r="E606" s="13">
        <f>IF(B606&gt;=$S$2, B606, 0)</f>
        <v>0</v>
      </c>
      <c r="F606" s="13">
        <f t="shared" si="1"/>
        <v>0</v>
      </c>
      <c r="G606" s="13">
        <f t="shared" si="2"/>
        <v>0</v>
      </c>
      <c r="H606" s="13" t="str">
        <f>IF(B606&gt;=$T$2, A606, "")</f>
        <v/>
      </c>
      <c r="I606" s="14" t="e">
        <f t="shared" si="21"/>
        <v>#N/A</v>
      </c>
      <c r="J606" s="14">
        <v>0.5</v>
      </c>
      <c r="K606" s="14" t="e">
        <f t="shared" si="22"/>
        <v>#N/A</v>
      </c>
      <c r="L606" s="14">
        <v>0.4</v>
      </c>
      <c r="N606" s="4"/>
      <c r="O606" s="4"/>
      <c r="P606" s="5"/>
      <c r="Q606" s="1"/>
      <c r="R606" s="2"/>
      <c r="S606" s="2"/>
      <c r="T606" s="1"/>
      <c r="U606" s="2"/>
      <c r="V606" s="2"/>
      <c r="W606" s="2"/>
    </row>
    <row r="607" spans="1:23">
      <c r="A607" s="13">
        <v>60.5</v>
      </c>
      <c r="B607" s="13">
        <f t="shared" si="0"/>
        <v>0.1303339517625231</v>
      </c>
      <c r="C607" s="13" t="str">
        <f>IF(B607&gt;=$S$2, A607, "")</f>
        <v/>
      </c>
      <c r="D607" s="13" t="str">
        <f>IF(AND(B607=1, B607&gt;=$S$2), A607, "")</f>
        <v/>
      </c>
      <c r="E607" s="13">
        <f>IF(B607&gt;=$S$2, B607, 0)</f>
        <v>0</v>
      </c>
      <c r="F607" s="13">
        <f t="shared" si="1"/>
        <v>0</v>
      </c>
      <c r="G607" s="13">
        <f t="shared" si="2"/>
        <v>0</v>
      </c>
      <c r="H607" s="13" t="str">
        <f>IF(B607&gt;=$T$2, A607, "")</f>
        <v/>
      </c>
      <c r="I607" s="14" t="e">
        <f t="shared" si="21"/>
        <v>#N/A</v>
      </c>
      <c r="J607" s="14">
        <v>0.5</v>
      </c>
      <c r="K607" s="14" t="e">
        <f t="shared" si="22"/>
        <v>#N/A</v>
      </c>
      <c r="L607" s="14">
        <v>0.4</v>
      </c>
      <c r="N607" s="4"/>
      <c r="O607" s="4"/>
      <c r="P607" s="5"/>
      <c r="Q607" s="1"/>
      <c r="R607" s="2"/>
      <c r="S607" s="2"/>
      <c r="T607" s="1"/>
      <c r="U607" s="2"/>
      <c r="V607" s="2"/>
      <c r="W607" s="2"/>
    </row>
    <row r="608" spans="1:23">
      <c r="A608" s="13">
        <v>60.6</v>
      </c>
      <c r="B608" s="13">
        <f t="shared" si="0"/>
        <v>0.12205141796978511</v>
      </c>
      <c r="C608" s="13" t="str">
        <f>IF(B608&gt;=$S$2, A608, "")</f>
        <v/>
      </c>
      <c r="D608" s="13" t="str">
        <f>IF(AND(B608=1, B608&gt;=$S$2), A608, "")</f>
        <v/>
      </c>
      <c r="E608" s="13">
        <f>IF(B608&gt;=$S$2, B608, 0)</f>
        <v>0</v>
      </c>
      <c r="F608" s="13">
        <f t="shared" si="1"/>
        <v>0</v>
      </c>
      <c r="G608" s="13">
        <f t="shared" si="2"/>
        <v>0</v>
      </c>
      <c r="H608" s="13" t="str">
        <f>IF(B608&gt;=$T$2, A608, "")</f>
        <v/>
      </c>
      <c r="I608" s="14" t="e">
        <f t="shared" si="21"/>
        <v>#N/A</v>
      </c>
      <c r="J608" s="14">
        <v>0.5</v>
      </c>
      <c r="K608" s="14" t="e">
        <f t="shared" si="22"/>
        <v>#N/A</v>
      </c>
      <c r="L608" s="14">
        <v>0.4</v>
      </c>
      <c r="N608" s="4"/>
      <c r="O608" s="4"/>
      <c r="P608" s="5"/>
      <c r="Q608" s="1"/>
      <c r="R608" s="2"/>
      <c r="S608" s="2"/>
      <c r="T608" s="1"/>
      <c r="U608" s="2"/>
      <c r="V608" s="2"/>
      <c r="W608" s="2"/>
    </row>
    <row r="609" spans="1:23">
      <c r="A609" s="13">
        <v>60.7</v>
      </c>
      <c r="B609" s="13">
        <f t="shared" si="0"/>
        <v>0.11376888417704711</v>
      </c>
      <c r="C609" s="13" t="str">
        <f>IF(B609&gt;=$S$2, A609, "")</f>
        <v/>
      </c>
      <c r="D609" s="13" t="str">
        <f>IF(AND(B609=1, B609&gt;=$S$2), A609, "")</f>
        <v/>
      </c>
      <c r="E609" s="13">
        <f>IF(B609&gt;=$S$2, B609, 0)</f>
        <v>0</v>
      </c>
      <c r="F609" s="13">
        <f t="shared" si="1"/>
        <v>0</v>
      </c>
      <c r="G609" s="13">
        <f t="shared" si="2"/>
        <v>0</v>
      </c>
      <c r="H609" s="13" t="str">
        <f>IF(B609&gt;=$T$2, A609, "")</f>
        <v/>
      </c>
      <c r="I609" s="14" t="e">
        <f t="shared" si="21"/>
        <v>#N/A</v>
      </c>
      <c r="J609" s="14">
        <v>0.5</v>
      </c>
      <c r="K609" s="14" t="e">
        <f t="shared" si="22"/>
        <v>#N/A</v>
      </c>
      <c r="L609" s="14">
        <v>0.4</v>
      </c>
      <c r="N609" s="4"/>
      <c r="O609" s="4"/>
      <c r="P609" s="5"/>
      <c r="Q609" s="1"/>
      <c r="R609" s="2"/>
      <c r="S609" s="2"/>
      <c r="T609" s="1"/>
      <c r="U609" s="2"/>
      <c r="V609" s="2"/>
      <c r="W609" s="2"/>
    </row>
    <row r="610" spans="1:23">
      <c r="A610" s="13">
        <v>60.8</v>
      </c>
      <c r="B610" s="13">
        <f t="shared" si="0"/>
        <v>0.10548635038430972</v>
      </c>
      <c r="C610" s="13" t="str">
        <f>IF(B610&gt;=$S$2, A610, "")</f>
        <v/>
      </c>
      <c r="D610" s="13" t="str">
        <f>IF(AND(B610=1, B610&gt;=$S$2), A610, "")</f>
        <v/>
      </c>
      <c r="E610" s="13">
        <f>IF(B610&gt;=$S$2, B610, 0)</f>
        <v>0</v>
      </c>
      <c r="F610" s="13">
        <f t="shared" si="1"/>
        <v>0</v>
      </c>
      <c r="G610" s="13">
        <f t="shared" si="2"/>
        <v>0</v>
      </c>
      <c r="H610" s="13" t="str">
        <f>IF(B610&gt;=$T$2, A610, "")</f>
        <v/>
      </c>
      <c r="I610" s="14" t="e">
        <f t="shared" si="21"/>
        <v>#N/A</v>
      </c>
      <c r="J610" s="14">
        <v>0.5</v>
      </c>
      <c r="K610" s="14" t="e">
        <f t="shared" si="22"/>
        <v>#N/A</v>
      </c>
      <c r="L610" s="14">
        <v>0.4</v>
      </c>
      <c r="N610" s="4"/>
      <c r="O610" s="4"/>
      <c r="P610" s="5"/>
      <c r="Q610" s="1"/>
      <c r="R610" s="2"/>
      <c r="S610" s="2"/>
      <c r="T610" s="1"/>
      <c r="U610" s="2"/>
      <c r="V610" s="2"/>
      <c r="W610" s="2"/>
    </row>
    <row r="611" spans="1:23">
      <c r="A611" s="13">
        <v>60.9</v>
      </c>
      <c r="B611" s="13">
        <f t="shared" si="0"/>
        <v>9.7203816591571721E-2</v>
      </c>
      <c r="C611" s="13" t="str">
        <f>IF(B611&gt;=$S$2, A611, "")</f>
        <v/>
      </c>
      <c r="D611" s="13" t="str">
        <f>IF(AND(B611=1, B611&gt;=$S$2), A611, "")</f>
        <v/>
      </c>
      <c r="E611" s="13">
        <f>IF(B611&gt;=$S$2, B611, 0)</f>
        <v>0</v>
      </c>
      <c r="F611" s="13">
        <f t="shared" si="1"/>
        <v>0</v>
      </c>
      <c r="G611" s="13">
        <f t="shared" si="2"/>
        <v>0</v>
      </c>
      <c r="H611" s="13" t="str">
        <f>IF(B611&gt;=$T$2, A611, "")</f>
        <v/>
      </c>
      <c r="I611" s="14" t="e">
        <f t="shared" si="21"/>
        <v>#N/A</v>
      </c>
      <c r="J611" s="14">
        <v>0.5</v>
      </c>
      <c r="K611" s="14" t="e">
        <f t="shared" si="22"/>
        <v>#N/A</v>
      </c>
      <c r="L611" s="14">
        <v>0.4</v>
      </c>
      <c r="N611" s="4"/>
      <c r="O611" s="4"/>
      <c r="P611" s="5"/>
      <c r="Q611" s="1"/>
      <c r="R611" s="2"/>
      <c r="S611" s="2"/>
      <c r="T611" s="1"/>
      <c r="U611" s="2"/>
      <c r="V611" s="2"/>
      <c r="W611" s="2"/>
    </row>
    <row r="612" spans="1:23">
      <c r="A612" s="13">
        <v>61</v>
      </c>
      <c r="B612" s="13">
        <f t="shared" si="0"/>
        <v>8.8921282798833726E-2</v>
      </c>
      <c r="C612" s="13" t="str">
        <f>IF(B612&gt;=$S$2, A612, "")</f>
        <v/>
      </c>
      <c r="D612" s="13" t="str">
        <f>IF(AND(B612=1, B612&gt;=$S$2), A612, "")</f>
        <v/>
      </c>
      <c r="E612" s="13">
        <f>IF(B612&gt;=$S$2, B612, 0)</f>
        <v>0</v>
      </c>
      <c r="F612" s="13">
        <f t="shared" si="1"/>
        <v>0</v>
      </c>
      <c r="G612" s="13">
        <f t="shared" si="2"/>
        <v>0</v>
      </c>
      <c r="H612" s="13" t="str">
        <f>IF(B612&gt;=$T$2, A612, "")</f>
        <v/>
      </c>
      <c r="I612" s="14" t="e">
        <f t="shared" si="21"/>
        <v>#N/A</v>
      </c>
      <c r="J612" s="14">
        <v>0.5</v>
      </c>
      <c r="K612" s="14" t="e">
        <f t="shared" si="22"/>
        <v>#N/A</v>
      </c>
      <c r="L612" s="14">
        <v>0.4</v>
      </c>
      <c r="N612" s="4"/>
      <c r="O612" s="4"/>
      <c r="P612" s="5"/>
      <c r="Q612" s="1"/>
      <c r="R612" s="2"/>
      <c r="S612" s="2"/>
      <c r="T612" s="1"/>
      <c r="U612" s="2"/>
      <c r="V612" s="2"/>
      <c r="W612" s="2"/>
    </row>
    <row r="613" spans="1:23">
      <c r="A613" s="13">
        <v>61.1</v>
      </c>
      <c r="B613" s="13">
        <f t="shared" si="0"/>
        <v>8.0638749006095745E-2</v>
      </c>
      <c r="C613" s="13" t="str">
        <f>IF(B613&gt;=$S$2, A613, "")</f>
        <v/>
      </c>
      <c r="D613" s="13" t="str">
        <f>IF(AND(B613=1, B613&gt;=$S$2), A613, "")</f>
        <v/>
      </c>
      <c r="E613" s="13">
        <f>IF(B613&gt;=$S$2, B613, 0)</f>
        <v>0</v>
      </c>
      <c r="F613" s="13">
        <f t="shared" si="1"/>
        <v>0</v>
      </c>
      <c r="G613" s="13">
        <f t="shared" si="2"/>
        <v>0</v>
      </c>
      <c r="H613" s="13" t="str">
        <f>IF(B613&gt;=$T$2, A613, "")</f>
        <v/>
      </c>
      <c r="I613" s="14" t="e">
        <f t="shared" si="21"/>
        <v>#N/A</v>
      </c>
      <c r="J613" s="14">
        <v>0.5</v>
      </c>
      <c r="K613" s="14" t="e">
        <f t="shared" si="22"/>
        <v>#N/A</v>
      </c>
      <c r="L613" s="14">
        <v>0.4</v>
      </c>
      <c r="N613" s="4"/>
      <c r="O613" s="4"/>
      <c r="P613" s="5"/>
      <c r="Q613" s="1"/>
      <c r="R613" s="2"/>
      <c r="S613" s="2"/>
      <c r="T613" s="1"/>
      <c r="U613" s="2"/>
      <c r="V613" s="2"/>
      <c r="W613" s="2"/>
    </row>
    <row r="614" spans="1:23">
      <c r="A614" s="13">
        <v>61.2</v>
      </c>
      <c r="B614" s="13">
        <f t="shared" si="0"/>
        <v>7.235621521335775E-2</v>
      </c>
      <c r="C614" s="13" t="str">
        <f>IF(B614&gt;=$S$2, A614, "")</f>
        <v/>
      </c>
      <c r="D614" s="13" t="str">
        <f>IF(AND(B614=1, B614&gt;=$S$2), A614, "")</f>
        <v/>
      </c>
      <c r="E614" s="13">
        <f>IF(B614&gt;=$S$2, B614, 0)</f>
        <v>0</v>
      </c>
      <c r="F614" s="13">
        <f t="shared" si="1"/>
        <v>0</v>
      </c>
      <c r="G614" s="13">
        <f t="shared" si="2"/>
        <v>0</v>
      </c>
      <c r="H614" s="13" t="str">
        <f>IF(B614&gt;=$T$2, A614, "")</f>
        <v/>
      </c>
      <c r="I614" s="14" t="e">
        <f t="shared" si="21"/>
        <v>#N/A</v>
      </c>
      <c r="J614" s="14">
        <v>0.5</v>
      </c>
      <c r="K614" s="14" t="e">
        <f t="shared" si="22"/>
        <v>#N/A</v>
      </c>
      <c r="L614" s="14">
        <v>0.4</v>
      </c>
      <c r="N614" s="4"/>
      <c r="O614" s="4"/>
      <c r="P614" s="5"/>
      <c r="Q614" s="1"/>
      <c r="R614" s="2"/>
      <c r="S614" s="2"/>
      <c r="T614" s="1"/>
      <c r="U614" s="2"/>
      <c r="V614" s="2"/>
      <c r="W614" s="2"/>
    </row>
    <row r="615" spans="1:23">
      <c r="A615" s="13">
        <v>61.3</v>
      </c>
      <c r="B615" s="13">
        <f t="shared" si="0"/>
        <v>6.4073681420620351E-2</v>
      </c>
      <c r="C615" s="13" t="str">
        <f>IF(B615&gt;=$S$2, A615, "")</f>
        <v/>
      </c>
      <c r="D615" s="13" t="str">
        <f>IF(AND(B615=1, B615&gt;=$S$2), A615, "")</f>
        <v/>
      </c>
      <c r="E615" s="13">
        <f>IF(B615&gt;=$S$2, B615, 0)</f>
        <v>0</v>
      </c>
      <c r="F615" s="13">
        <f t="shared" si="1"/>
        <v>0</v>
      </c>
      <c r="G615" s="13">
        <f t="shared" si="2"/>
        <v>0</v>
      </c>
      <c r="H615" s="13" t="str">
        <f>IF(B615&gt;=$T$2, A615, "")</f>
        <v/>
      </c>
      <c r="I615" s="14" t="e">
        <f t="shared" si="21"/>
        <v>#N/A</v>
      </c>
      <c r="J615" s="14">
        <v>0.5</v>
      </c>
      <c r="K615" s="14" t="e">
        <f t="shared" si="22"/>
        <v>#N/A</v>
      </c>
      <c r="L615" s="14">
        <v>0.4</v>
      </c>
      <c r="N615" s="4"/>
      <c r="O615" s="4"/>
      <c r="P615" s="5"/>
      <c r="Q615" s="1"/>
      <c r="R615" s="2"/>
      <c r="S615" s="2"/>
      <c r="T615" s="1"/>
      <c r="U615" s="2"/>
      <c r="V615" s="2"/>
      <c r="W615" s="2"/>
    </row>
    <row r="616" spans="1:23">
      <c r="A616" s="13">
        <v>61.4</v>
      </c>
      <c r="B616" s="13">
        <f t="shared" si="0"/>
        <v>5.579114762788235E-2</v>
      </c>
      <c r="C616" s="13" t="str">
        <f>IF(B616&gt;=$S$2, A616, "")</f>
        <v/>
      </c>
      <c r="D616" s="13" t="str">
        <f>IF(AND(B616=1, B616&gt;=$S$2), A616, "")</f>
        <v/>
      </c>
      <c r="E616" s="13">
        <f>IF(B616&gt;=$S$2, B616, 0)</f>
        <v>0</v>
      </c>
      <c r="F616" s="13">
        <f t="shared" si="1"/>
        <v>0</v>
      </c>
      <c r="G616" s="13">
        <f t="shared" si="2"/>
        <v>0</v>
      </c>
      <c r="H616" s="13" t="str">
        <f>IF(B616&gt;=$T$2, A616, "")</f>
        <v/>
      </c>
      <c r="I616" s="14" t="e">
        <f t="shared" si="21"/>
        <v>#N/A</v>
      </c>
      <c r="J616" s="14">
        <v>0.5</v>
      </c>
      <c r="K616" s="14" t="e">
        <f t="shared" si="22"/>
        <v>#N/A</v>
      </c>
      <c r="L616" s="14">
        <v>0.4</v>
      </c>
      <c r="N616" s="4"/>
      <c r="O616" s="4"/>
      <c r="P616" s="5"/>
      <c r="Q616" s="1"/>
      <c r="R616" s="2"/>
      <c r="S616" s="2"/>
      <c r="T616" s="1"/>
      <c r="U616" s="2"/>
      <c r="V616" s="2"/>
      <c r="W616" s="2"/>
    </row>
    <row r="617" spans="1:23">
      <c r="A617" s="13">
        <v>61.5</v>
      </c>
      <c r="B617" s="13">
        <f t="shared" si="0"/>
        <v>4.7508613835144362E-2</v>
      </c>
      <c r="C617" s="13" t="str">
        <f>IF(B617&gt;=$S$2, A617, "")</f>
        <v/>
      </c>
      <c r="D617" s="13" t="str">
        <f>IF(AND(B617=1, B617&gt;=$S$2), A617, "")</f>
        <v/>
      </c>
      <c r="E617" s="13">
        <f>IF(B617&gt;=$S$2, B617, 0)</f>
        <v>0</v>
      </c>
      <c r="F617" s="13">
        <f t="shared" si="1"/>
        <v>0</v>
      </c>
      <c r="G617" s="13">
        <f t="shared" si="2"/>
        <v>0</v>
      </c>
      <c r="H617" s="13" t="str">
        <f>IF(B617&gt;=$T$2, A617, "")</f>
        <v/>
      </c>
      <c r="I617" s="14" t="e">
        <f t="shared" si="21"/>
        <v>#N/A</v>
      </c>
      <c r="J617" s="14">
        <v>0.5</v>
      </c>
      <c r="K617" s="14" t="e">
        <f t="shared" si="22"/>
        <v>#N/A</v>
      </c>
      <c r="L617" s="14">
        <v>0.4</v>
      </c>
      <c r="N617" s="4"/>
      <c r="O617" s="4"/>
      <c r="P617" s="5"/>
      <c r="Q617" s="1"/>
      <c r="R617" s="2"/>
      <c r="S617" s="2"/>
      <c r="T617" s="1"/>
      <c r="U617" s="2"/>
      <c r="V617" s="2"/>
      <c r="W617" s="2"/>
    </row>
    <row r="618" spans="1:23">
      <c r="A618" s="13">
        <v>61.6</v>
      </c>
      <c r="B618" s="13">
        <f t="shared" si="0"/>
        <v>3.9226080042406367E-2</v>
      </c>
      <c r="C618" s="13" t="str">
        <f>IF(B618&gt;=$S$2, A618, "")</f>
        <v/>
      </c>
      <c r="D618" s="13" t="str">
        <f>IF(AND(B618=1, B618&gt;=$S$2), A618, "")</f>
        <v/>
      </c>
      <c r="E618" s="13">
        <f>IF(B618&gt;=$S$2, B618, 0)</f>
        <v>0</v>
      </c>
      <c r="F618" s="13">
        <f t="shared" si="1"/>
        <v>0</v>
      </c>
      <c r="G618" s="13">
        <f t="shared" si="2"/>
        <v>0</v>
      </c>
      <c r="H618" s="13" t="str">
        <f>IF(B618&gt;=$T$2, A618, "")</f>
        <v/>
      </c>
      <c r="I618" s="14" t="e">
        <f t="shared" si="21"/>
        <v>#N/A</v>
      </c>
      <c r="J618" s="14">
        <v>0.5</v>
      </c>
      <c r="K618" s="14" t="e">
        <f t="shared" si="22"/>
        <v>#N/A</v>
      </c>
      <c r="L618" s="14">
        <v>0.4</v>
      </c>
      <c r="N618" s="4"/>
      <c r="O618" s="4"/>
      <c r="P618" s="5"/>
      <c r="Q618" s="1"/>
      <c r="R618" s="2"/>
      <c r="S618" s="2"/>
      <c r="T618" s="1"/>
      <c r="U618" s="2"/>
      <c r="V618" s="2"/>
      <c r="W618" s="2"/>
    </row>
    <row r="619" spans="1:23">
      <c r="A619" s="13">
        <v>61.7</v>
      </c>
      <c r="B619" s="13">
        <f t="shared" si="0"/>
        <v>3.0943546249668379E-2</v>
      </c>
      <c r="C619" s="13" t="str">
        <f>IF(B619&gt;=$S$2, A619, "")</f>
        <v/>
      </c>
      <c r="D619" s="13" t="str">
        <f>IF(AND(B619=1, B619&gt;=$S$2), A619, "")</f>
        <v/>
      </c>
      <c r="E619" s="13">
        <f>IF(B619&gt;=$S$2, B619, 0)</f>
        <v>0</v>
      </c>
      <c r="F619" s="13">
        <f t="shared" si="1"/>
        <v>0</v>
      </c>
      <c r="G619" s="13">
        <f t="shared" si="2"/>
        <v>0</v>
      </c>
      <c r="H619" s="13" t="str">
        <f>IF(B619&gt;=$T$2, A619, "")</f>
        <v/>
      </c>
      <c r="I619" s="14" t="e">
        <f t="shared" si="21"/>
        <v>#N/A</v>
      </c>
      <c r="J619" s="14">
        <v>0.5</v>
      </c>
      <c r="K619" s="14" t="e">
        <f t="shared" si="22"/>
        <v>#N/A</v>
      </c>
      <c r="L619" s="14">
        <v>0.4</v>
      </c>
      <c r="N619" s="4"/>
      <c r="O619" s="4"/>
      <c r="P619" s="5"/>
      <c r="Q619" s="1"/>
      <c r="R619" s="2"/>
      <c r="S619" s="2"/>
      <c r="T619" s="1"/>
      <c r="U619" s="2"/>
      <c r="V619" s="2"/>
      <c r="W619" s="2"/>
    </row>
    <row r="620" spans="1:23">
      <c r="A620" s="13">
        <v>61.8</v>
      </c>
      <c r="B620" s="13">
        <f t="shared" si="0"/>
        <v>2.2661012456930977E-2</v>
      </c>
      <c r="C620" s="13" t="str">
        <f>IF(B620&gt;=$S$2, A620, "")</f>
        <v/>
      </c>
      <c r="D620" s="13" t="str">
        <f>IF(AND(B620=1, B620&gt;=$S$2), A620, "")</f>
        <v/>
      </c>
      <c r="E620" s="13">
        <f>IF(B620&gt;=$S$2, B620, 0)</f>
        <v>0</v>
      </c>
      <c r="F620" s="13">
        <f t="shared" si="1"/>
        <v>0</v>
      </c>
      <c r="G620" s="13">
        <f t="shared" si="2"/>
        <v>0</v>
      </c>
      <c r="H620" s="13" t="str">
        <f>IF(B620&gt;=$T$2, A620, "")</f>
        <v/>
      </c>
      <c r="I620" s="14" t="e">
        <f t="shared" si="21"/>
        <v>#N/A</v>
      </c>
      <c r="J620" s="14">
        <v>0.5</v>
      </c>
      <c r="K620" s="14" t="e">
        <f t="shared" si="22"/>
        <v>#N/A</v>
      </c>
      <c r="L620" s="14">
        <v>0.4</v>
      </c>
      <c r="N620" s="4"/>
      <c r="O620" s="4"/>
      <c r="P620" s="5"/>
      <c r="Q620" s="1"/>
      <c r="R620" s="2"/>
      <c r="S620" s="2"/>
      <c r="T620" s="1"/>
      <c r="U620" s="2"/>
      <c r="V620" s="2"/>
      <c r="W620" s="2"/>
    </row>
    <row r="621" spans="1:23">
      <c r="A621" s="13">
        <v>61.9</v>
      </c>
      <c r="B621" s="13">
        <f t="shared" si="0"/>
        <v>1.4378478664192984E-2</v>
      </c>
      <c r="C621" s="13" t="str">
        <f>IF(B621&gt;=$S$2, A621, "")</f>
        <v/>
      </c>
      <c r="D621" s="13" t="str">
        <f>IF(AND(B621=1, B621&gt;=$S$2), A621, "")</f>
        <v/>
      </c>
      <c r="E621" s="13">
        <f>IF(B621&gt;=$S$2, B621, 0)</f>
        <v>0</v>
      </c>
      <c r="F621" s="13">
        <f t="shared" si="1"/>
        <v>0</v>
      </c>
      <c r="G621" s="13">
        <f t="shared" si="2"/>
        <v>0</v>
      </c>
      <c r="H621" s="13" t="str">
        <f>IF(B621&gt;=$T$2, A621, "")</f>
        <v/>
      </c>
      <c r="I621" s="14" t="e">
        <f t="shared" si="21"/>
        <v>#N/A</v>
      </c>
      <c r="J621" s="14">
        <v>0.5</v>
      </c>
      <c r="K621" s="14" t="e">
        <f t="shared" si="22"/>
        <v>#N/A</v>
      </c>
      <c r="L621" s="14">
        <v>0.4</v>
      </c>
      <c r="N621" s="4"/>
      <c r="O621" s="4"/>
      <c r="P621" s="5"/>
      <c r="Q621" s="1"/>
      <c r="R621" s="2"/>
      <c r="S621" s="2"/>
      <c r="T621" s="1"/>
      <c r="U621" s="2"/>
      <c r="V621" s="2"/>
      <c r="W621" s="2"/>
    </row>
    <row r="622" spans="1:23">
      <c r="A622" s="13">
        <v>62</v>
      </c>
      <c r="B622" s="13">
        <f t="shared" si="0"/>
        <v>6.0959448714549922E-3</v>
      </c>
      <c r="C622" s="13" t="str">
        <f>IF(B622&gt;=$S$2, A622, "")</f>
        <v/>
      </c>
      <c r="D622" s="13" t="str">
        <f>IF(AND(B622=1, B622&gt;=$S$2), A622, "")</f>
        <v/>
      </c>
      <c r="E622" s="13">
        <f>IF(B622&gt;=$S$2, B622, 0)</f>
        <v>0</v>
      </c>
      <c r="F622" s="13">
        <f t="shared" si="1"/>
        <v>0</v>
      </c>
      <c r="G622" s="13">
        <f t="shared" si="2"/>
        <v>0</v>
      </c>
      <c r="H622" s="13" t="str">
        <f>IF(B622&gt;=$T$2, A622, "")</f>
        <v/>
      </c>
      <c r="I622" s="14" t="e">
        <f t="shared" si="21"/>
        <v>#N/A</v>
      </c>
      <c r="J622" s="14">
        <v>0.5</v>
      </c>
      <c r="K622" s="14" t="e">
        <f t="shared" si="22"/>
        <v>#N/A</v>
      </c>
      <c r="L622" s="14">
        <v>0.4</v>
      </c>
      <c r="N622" s="4"/>
      <c r="O622" s="4"/>
      <c r="P622" s="5"/>
      <c r="Q622" s="1"/>
      <c r="R622" s="2"/>
      <c r="S622" s="2"/>
      <c r="T622" s="1"/>
      <c r="U622" s="2"/>
      <c r="V622" s="2"/>
      <c r="W622" s="2"/>
    </row>
    <row r="623" spans="1:23">
      <c r="A623" s="13">
        <v>62.1</v>
      </c>
      <c r="B623" s="13">
        <f t="shared" si="0"/>
        <v>0</v>
      </c>
      <c r="C623" s="13" t="str">
        <f>IF(B623&gt;=$S$2, A623, "")</f>
        <v/>
      </c>
      <c r="D623" s="13" t="str">
        <f>IF(AND(B623=1, B623&gt;=$S$2), A623, "")</f>
        <v/>
      </c>
      <c r="E623" s="13">
        <f>IF(B623&gt;=$S$2, B623, 0)</f>
        <v>0</v>
      </c>
      <c r="F623" s="13">
        <f t="shared" si="1"/>
        <v>0</v>
      </c>
      <c r="G623" s="13">
        <f t="shared" si="2"/>
        <v>0</v>
      </c>
      <c r="H623" s="13" t="str">
        <f>IF(B623&gt;=$T$2, A623, "")</f>
        <v/>
      </c>
      <c r="I623" s="14" t="e">
        <f t="shared" si="21"/>
        <v>#N/A</v>
      </c>
      <c r="J623" s="14">
        <v>0.5</v>
      </c>
      <c r="K623" s="14" t="e">
        <f t="shared" si="22"/>
        <v>#N/A</v>
      </c>
      <c r="L623" s="14">
        <v>0.4</v>
      </c>
      <c r="N623" s="4"/>
      <c r="O623" s="4"/>
      <c r="P623" s="5"/>
      <c r="Q623" s="1"/>
      <c r="R623" s="2"/>
      <c r="S623" s="2"/>
      <c r="T623" s="1"/>
      <c r="U623" s="2"/>
      <c r="V623" s="2"/>
      <c r="W623" s="2"/>
    </row>
    <row r="624" spans="1:23">
      <c r="A624" s="13">
        <v>62.2</v>
      </c>
      <c r="B624" s="13">
        <f t="shared" si="0"/>
        <v>0</v>
      </c>
      <c r="C624" s="13" t="str">
        <f>IF(B624&gt;=$S$2, A624, "")</f>
        <v/>
      </c>
      <c r="D624" s="13" t="str">
        <f>IF(AND(B624=1, B624&gt;=$S$2), A624, "")</f>
        <v/>
      </c>
      <c r="E624" s="13">
        <f>IF(B624&gt;=$S$2, B624, 0)</f>
        <v>0</v>
      </c>
      <c r="F624" s="13">
        <f t="shared" si="1"/>
        <v>0</v>
      </c>
      <c r="G624" s="13">
        <f t="shared" si="2"/>
        <v>0</v>
      </c>
      <c r="H624" s="13" t="str">
        <f>IF(B624&gt;=$T$2, A624, "")</f>
        <v/>
      </c>
      <c r="I624" s="14" t="e">
        <f t="shared" si="21"/>
        <v>#N/A</v>
      </c>
      <c r="J624" s="14">
        <v>0.5</v>
      </c>
      <c r="K624" s="14" t="e">
        <f t="shared" si="22"/>
        <v>#N/A</v>
      </c>
      <c r="L624" s="14">
        <v>0.4</v>
      </c>
      <c r="N624" s="4"/>
      <c r="O624" s="4"/>
      <c r="P624" s="5"/>
      <c r="Q624" s="1"/>
      <c r="R624" s="2"/>
      <c r="S624" s="2"/>
      <c r="T624" s="1"/>
      <c r="U624" s="2"/>
      <c r="V624" s="2"/>
      <c r="W624" s="2"/>
    </row>
    <row r="625" spans="1:23">
      <c r="A625" s="13">
        <v>62.3</v>
      </c>
      <c r="B625" s="13">
        <f t="shared" si="0"/>
        <v>0</v>
      </c>
      <c r="C625" s="13" t="str">
        <f>IF(B625&gt;=$S$2, A625, "")</f>
        <v/>
      </c>
      <c r="D625" s="13" t="str">
        <f>IF(AND(B625=1, B625&gt;=$S$2), A625, "")</f>
        <v/>
      </c>
      <c r="E625" s="13">
        <f>IF(B625&gt;=$S$2, B625, 0)</f>
        <v>0</v>
      </c>
      <c r="F625" s="13">
        <f t="shared" si="1"/>
        <v>0</v>
      </c>
      <c r="G625" s="13">
        <f t="shared" si="2"/>
        <v>0</v>
      </c>
      <c r="H625" s="13" t="str">
        <f>IF(B625&gt;=$T$2, A625, "")</f>
        <v/>
      </c>
      <c r="I625" s="14" t="e">
        <f t="shared" si="21"/>
        <v>#N/A</v>
      </c>
      <c r="J625" s="14">
        <v>0.5</v>
      </c>
      <c r="K625" s="14" t="e">
        <f t="shared" si="22"/>
        <v>#N/A</v>
      </c>
      <c r="L625" s="14">
        <v>0.4</v>
      </c>
      <c r="N625" s="4"/>
      <c r="O625" s="4"/>
      <c r="P625" s="5"/>
      <c r="Q625" s="1"/>
      <c r="R625" s="2"/>
      <c r="S625" s="2"/>
      <c r="T625" s="1"/>
      <c r="U625" s="2"/>
      <c r="V625" s="2"/>
      <c r="W625" s="2"/>
    </row>
    <row r="626" spans="1:23">
      <c r="A626" s="13">
        <v>62.4</v>
      </c>
      <c r="B626" s="13">
        <f t="shared" si="0"/>
        <v>0</v>
      </c>
      <c r="C626" s="13" t="str">
        <f>IF(B626&gt;=$S$2, A626, "")</f>
        <v/>
      </c>
      <c r="D626" s="13" t="str">
        <f>IF(AND(B626=1, B626&gt;=$S$2), A626, "")</f>
        <v/>
      </c>
      <c r="E626" s="13">
        <f>IF(B626&gt;=$S$2, B626, 0)</f>
        <v>0</v>
      </c>
      <c r="F626" s="13">
        <f t="shared" si="1"/>
        <v>0</v>
      </c>
      <c r="G626" s="13">
        <f t="shared" si="2"/>
        <v>0</v>
      </c>
      <c r="H626" s="13" t="str">
        <f>IF(B626&gt;=$T$2, A626, "")</f>
        <v/>
      </c>
      <c r="I626" s="14" t="e">
        <f t="shared" si="21"/>
        <v>#N/A</v>
      </c>
      <c r="J626" s="14">
        <v>0.5</v>
      </c>
      <c r="K626" s="14" t="e">
        <f t="shared" si="22"/>
        <v>#N/A</v>
      </c>
      <c r="L626" s="14">
        <v>0.4</v>
      </c>
      <c r="N626" s="4"/>
      <c r="O626" s="4"/>
      <c r="P626" s="5"/>
      <c r="Q626" s="1"/>
      <c r="R626" s="2"/>
      <c r="S626" s="2"/>
      <c r="T626" s="1"/>
      <c r="U626" s="2"/>
      <c r="V626" s="2"/>
      <c r="W626" s="2"/>
    </row>
    <row r="627" spans="1:23">
      <c r="A627" s="13">
        <v>62.5</v>
      </c>
      <c r="B627" s="13">
        <f t="shared" si="0"/>
        <v>0</v>
      </c>
      <c r="C627" s="13" t="str">
        <f>IF(B627&gt;=$S$2, A627, "")</f>
        <v/>
      </c>
      <c r="D627" s="13" t="str">
        <f>IF(AND(B627=1, B627&gt;=$S$2), A627, "")</f>
        <v/>
      </c>
      <c r="E627" s="13">
        <f>IF(B627&gt;=$S$2, B627, 0)</f>
        <v>0</v>
      </c>
      <c r="F627" s="13">
        <f t="shared" si="1"/>
        <v>0</v>
      </c>
      <c r="G627" s="13">
        <f t="shared" si="2"/>
        <v>0</v>
      </c>
      <c r="H627" s="13" t="str">
        <f>IF(B627&gt;=$T$2, A627, "")</f>
        <v/>
      </c>
      <c r="I627" s="14" t="e">
        <f t="shared" si="21"/>
        <v>#N/A</v>
      </c>
      <c r="J627" s="14">
        <v>0.5</v>
      </c>
      <c r="K627" s="14" t="e">
        <f t="shared" si="22"/>
        <v>#N/A</v>
      </c>
      <c r="L627" s="14">
        <v>0.4</v>
      </c>
      <c r="N627" s="4"/>
      <c r="O627" s="4"/>
      <c r="P627" s="5"/>
      <c r="Q627" s="1"/>
      <c r="R627" s="2"/>
      <c r="S627" s="2"/>
      <c r="T627" s="1"/>
      <c r="U627" s="2"/>
      <c r="V627" s="2"/>
      <c r="W627" s="2"/>
    </row>
    <row r="628" spans="1:23">
      <c r="A628" s="13">
        <v>62.6</v>
      </c>
      <c r="B628" s="13">
        <f t="shared" si="0"/>
        <v>0</v>
      </c>
      <c r="C628" s="13" t="str">
        <f>IF(B628&gt;=$S$2, A628, "")</f>
        <v/>
      </c>
      <c r="D628" s="13" t="str">
        <f>IF(AND(B628=1, B628&gt;=$S$2), A628, "")</f>
        <v/>
      </c>
      <c r="E628" s="13">
        <f>IF(B628&gt;=$S$2, B628, 0)</f>
        <v>0</v>
      </c>
      <c r="F628" s="13">
        <f t="shared" si="1"/>
        <v>0</v>
      </c>
      <c r="G628" s="13">
        <f t="shared" si="2"/>
        <v>0</v>
      </c>
      <c r="H628" s="13" t="str">
        <f>IF(B628&gt;=$T$2, A628, "")</f>
        <v/>
      </c>
      <c r="I628" s="14" t="e">
        <f t="shared" si="21"/>
        <v>#N/A</v>
      </c>
      <c r="J628" s="14">
        <v>0.5</v>
      </c>
      <c r="K628" s="14" t="e">
        <f t="shared" si="22"/>
        <v>#N/A</v>
      </c>
      <c r="L628" s="14">
        <v>0.4</v>
      </c>
      <c r="N628" s="4"/>
      <c r="O628" s="4"/>
      <c r="P628" s="5"/>
      <c r="Q628" s="1"/>
      <c r="R628" s="2"/>
      <c r="S628" s="2"/>
      <c r="T628" s="1"/>
      <c r="U628" s="2"/>
      <c r="V628" s="2"/>
      <c r="W628" s="2"/>
    </row>
    <row r="629" spans="1:23">
      <c r="A629" s="13">
        <v>62.7</v>
      </c>
      <c r="B629" s="13">
        <f t="shared" si="0"/>
        <v>0</v>
      </c>
      <c r="C629" s="13" t="str">
        <f>IF(B629&gt;=$S$2, A629, "")</f>
        <v/>
      </c>
      <c r="D629" s="13" t="str">
        <f>IF(AND(B629=1, B629&gt;=$S$2), A629, "")</f>
        <v/>
      </c>
      <c r="E629" s="13">
        <f>IF(B629&gt;=$S$2, B629, 0)</f>
        <v>0</v>
      </c>
      <c r="F629" s="13">
        <f t="shared" si="1"/>
        <v>0</v>
      </c>
      <c r="G629" s="13">
        <f t="shared" si="2"/>
        <v>0</v>
      </c>
      <c r="H629" s="13" t="str">
        <f>IF(B629&gt;=$T$2, A629, "")</f>
        <v/>
      </c>
      <c r="I629" s="14" t="e">
        <f t="shared" si="21"/>
        <v>#N/A</v>
      </c>
      <c r="J629" s="14">
        <v>0.5</v>
      </c>
      <c r="K629" s="14" t="e">
        <f t="shared" si="22"/>
        <v>#N/A</v>
      </c>
      <c r="L629" s="14">
        <v>0.4</v>
      </c>
      <c r="N629" s="4"/>
      <c r="O629" s="4"/>
      <c r="P629" s="5"/>
      <c r="Q629" s="1"/>
      <c r="R629" s="2"/>
      <c r="S629" s="2"/>
      <c r="T629" s="1"/>
      <c r="U629" s="2"/>
      <c r="V629" s="2"/>
      <c r="W629" s="2"/>
    </row>
    <row r="630" spans="1:23">
      <c r="A630" s="13">
        <v>62.8</v>
      </c>
      <c r="B630" s="13">
        <f t="shared" si="0"/>
        <v>0</v>
      </c>
      <c r="C630" s="13" t="str">
        <f>IF(B630&gt;=$S$2, A630, "")</f>
        <v/>
      </c>
      <c r="D630" s="13" t="str">
        <f>IF(AND(B630=1, B630&gt;=$S$2), A630, "")</f>
        <v/>
      </c>
      <c r="E630" s="13">
        <f>IF(B630&gt;=$S$2, B630, 0)</f>
        <v>0</v>
      </c>
      <c r="F630" s="13">
        <f t="shared" si="1"/>
        <v>0</v>
      </c>
      <c r="G630" s="13">
        <f t="shared" si="2"/>
        <v>0</v>
      </c>
      <c r="H630" s="13" t="str">
        <f>IF(B630&gt;=$T$2, A630, "")</f>
        <v/>
      </c>
      <c r="I630" s="14" t="e">
        <f t="shared" si="21"/>
        <v>#N/A</v>
      </c>
      <c r="J630" s="14">
        <v>0.5</v>
      </c>
      <c r="K630" s="14" t="e">
        <f t="shared" si="22"/>
        <v>#N/A</v>
      </c>
      <c r="L630" s="14">
        <v>0.4</v>
      </c>
      <c r="N630" s="4"/>
      <c r="O630" s="4"/>
      <c r="P630" s="5"/>
      <c r="Q630" s="1"/>
      <c r="R630" s="2"/>
      <c r="S630" s="2"/>
      <c r="T630" s="1"/>
      <c r="U630" s="2"/>
      <c r="V630" s="2"/>
      <c r="W630" s="2"/>
    </row>
    <row r="631" spans="1:23">
      <c r="A631" s="13">
        <v>62.9</v>
      </c>
      <c r="B631" s="13">
        <f t="shared" si="0"/>
        <v>0</v>
      </c>
      <c r="C631" s="13" t="str">
        <f>IF(B631&gt;=$S$2, A631, "")</f>
        <v/>
      </c>
      <c r="D631" s="13" t="str">
        <f>IF(AND(B631=1, B631&gt;=$S$2), A631, "")</f>
        <v/>
      </c>
      <c r="E631" s="13">
        <f>IF(B631&gt;=$S$2, B631, 0)</f>
        <v>0</v>
      </c>
      <c r="F631" s="13">
        <f t="shared" si="1"/>
        <v>0</v>
      </c>
      <c r="G631" s="13">
        <f t="shared" si="2"/>
        <v>0</v>
      </c>
      <c r="H631" s="13" t="str">
        <f>IF(B631&gt;=$T$2, A631, "")</f>
        <v/>
      </c>
      <c r="I631" s="14" t="e">
        <f t="shared" si="21"/>
        <v>#N/A</v>
      </c>
      <c r="J631" s="14">
        <v>0.5</v>
      </c>
      <c r="K631" s="14" t="e">
        <f t="shared" si="22"/>
        <v>#N/A</v>
      </c>
      <c r="L631" s="14">
        <v>0.4</v>
      </c>
      <c r="N631" s="4"/>
      <c r="O631" s="4"/>
      <c r="P631" s="5"/>
      <c r="Q631" s="1"/>
      <c r="R631" s="2"/>
      <c r="S631" s="2"/>
      <c r="T631" s="1"/>
      <c r="U631" s="2"/>
      <c r="V631" s="2"/>
      <c r="W631" s="2"/>
    </row>
    <row r="632" spans="1:23">
      <c r="A632" s="13">
        <v>63</v>
      </c>
      <c r="B632" s="13">
        <f t="shared" si="0"/>
        <v>0</v>
      </c>
      <c r="C632" s="13" t="str">
        <f>IF(B632&gt;=$S$2, A632, "")</f>
        <v/>
      </c>
      <c r="D632" s="13" t="str">
        <f>IF(AND(B632=1, B632&gt;=$S$2), A632, "")</f>
        <v/>
      </c>
      <c r="E632" s="13">
        <f>IF(B632&gt;=$S$2, B632, 0)</f>
        <v>0</v>
      </c>
      <c r="F632" s="13">
        <f t="shared" si="1"/>
        <v>0</v>
      </c>
      <c r="G632" s="13">
        <f t="shared" si="2"/>
        <v>0</v>
      </c>
      <c r="H632" s="13" t="str">
        <f>IF(B632&gt;=$T$2, A632, "")</f>
        <v/>
      </c>
      <c r="I632" s="14" t="e">
        <f t="shared" si="21"/>
        <v>#N/A</v>
      </c>
      <c r="J632" s="14">
        <v>0.5</v>
      </c>
      <c r="K632" s="14" t="e">
        <f t="shared" si="22"/>
        <v>#N/A</v>
      </c>
      <c r="L632" s="14">
        <v>0.4</v>
      </c>
      <c r="N632" s="4"/>
      <c r="O632" s="4"/>
      <c r="P632" s="5"/>
      <c r="Q632" s="1"/>
      <c r="R632" s="2"/>
      <c r="S632" s="2"/>
      <c r="T632" s="1"/>
      <c r="U632" s="2"/>
      <c r="V632" s="2"/>
      <c r="W632" s="2"/>
    </row>
    <row r="633" spans="1:23">
      <c r="A633" s="13">
        <v>63.1</v>
      </c>
      <c r="B633" s="13">
        <f t="shared" si="0"/>
        <v>0</v>
      </c>
      <c r="C633" s="13" t="str">
        <f>IF(B633&gt;=$S$2, A633, "")</f>
        <v/>
      </c>
      <c r="D633" s="13" t="str">
        <f>IF(AND(B633=1, B633&gt;=$S$2), A633, "")</f>
        <v/>
      </c>
      <c r="E633" s="13">
        <f>IF(B633&gt;=$S$2, B633, 0)</f>
        <v>0</v>
      </c>
      <c r="F633" s="13">
        <f t="shared" si="1"/>
        <v>0</v>
      </c>
      <c r="G633" s="13">
        <f t="shared" si="2"/>
        <v>0</v>
      </c>
      <c r="H633" s="13" t="str">
        <f>IF(B633&gt;=$T$2, A633, "")</f>
        <v/>
      </c>
      <c r="I633" s="14" t="e">
        <f t="shared" si="21"/>
        <v>#N/A</v>
      </c>
      <c r="J633" s="14">
        <v>0.5</v>
      </c>
      <c r="K633" s="14" t="e">
        <f t="shared" si="22"/>
        <v>#N/A</v>
      </c>
      <c r="L633" s="14">
        <v>0.4</v>
      </c>
      <c r="N633" s="4"/>
      <c r="O633" s="4"/>
      <c r="P633" s="5"/>
      <c r="Q633" s="1"/>
      <c r="R633" s="2"/>
      <c r="S633" s="2"/>
      <c r="T633" s="1"/>
      <c r="U633" s="2"/>
      <c r="V633" s="2"/>
      <c r="W633" s="2"/>
    </row>
    <row r="634" spans="1:23">
      <c r="A634" s="13">
        <v>63.2</v>
      </c>
      <c r="B634" s="13">
        <f t="shared" si="0"/>
        <v>0</v>
      </c>
      <c r="C634" s="13" t="str">
        <f>IF(B634&gt;=$S$2, A634, "")</f>
        <v/>
      </c>
      <c r="D634" s="13" t="str">
        <f>IF(AND(B634=1, B634&gt;=$S$2), A634, "")</f>
        <v/>
      </c>
      <c r="E634" s="13">
        <f>IF(B634&gt;=$S$2, B634, 0)</f>
        <v>0</v>
      </c>
      <c r="F634" s="13">
        <f t="shared" si="1"/>
        <v>0</v>
      </c>
      <c r="G634" s="13">
        <f t="shared" si="2"/>
        <v>0</v>
      </c>
      <c r="H634" s="13" t="str">
        <f>IF(B634&gt;=$T$2, A634, "")</f>
        <v/>
      </c>
      <c r="I634" s="14" t="e">
        <f t="shared" si="21"/>
        <v>#N/A</v>
      </c>
      <c r="J634" s="14">
        <v>0.5</v>
      </c>
      <c r="K634" s="14" t="e">
        <f t="shared" si="22"/>
        <v>#N/A</v>
      </c>
      <c r="L634" s="14">
        <v>0.4</v>
      </c>
      <c r="N634" s="4"/>
      <c r="O634" s="4"/>
      <c r="P634" s="5"/>
      <c r="Q634" s="1"/>
      <c r="R634" s="2"/>
      <c r="S634" s="2"/>
      <c r="T634" s="1"/>
      <c r="U634" s="2"/>
      <c r="V634" s="2"/>
      <c r="W634" s="2"/>
    </row>
    <row r="635" spans="1:23">
      <c r="A635" s="13">
        <v>63.3</v>
      </c>
      <c r="B635" s="13">
        <f t="shared" si="0"/>
        <v>0</v>
      </c>
      <c r="C635" s="13" t="str">
        <f>IF(B635&gt;=$S$2, A635, "")</f>
        <v/>
      </c>
      <c r="D635" s="13" t="str">
        <f>IF(AND(B635=1, B635&gt;=$S$2), A635, "")</f>
        <v/>
      </c>
      <c r="E635" s="13">
        <f>IF(B635&gt;=$S$2, B635, 0)</f>
        <v>0</v>
      </c>
      <c r="F635" s="13">
        <f t="shared" si="1"/>
        <v>0</v>
      </c>
      <c r="G635" s="13">
        <f t="shared" si="2"/>
        <v>0</v>
      </c>
      <c r="H635" s="13" t="str">
        <f>IF(B635&gt;=$T$2, A635, "")</f>
        <v/>
      </c>
      <c r="I635" s="14" t="e">
        <f t="shared" si="21"/>
        <v>#N/A</v>
      </c>
      <c r="J635" s="14">
        <v>0.5</v>
      </c>
      <c r="K635" s="14" t="e">
        <f t="shared" si="22"/>
        <v>#N/A</v>
      </c>
      <c r="L635" s="14">
        <v>0.4</v>
      </c>
      <c r="N635" s="4"/>
      <c r="O635" s="4"/>
      <c r="P635" s="5"/>
      <c r="Q635" s="1"/>
      <c r="R635" s="2"/>
      <c r="S635" s="2"/>
      <c r="T635" s="1"/>
      <c r="U635" s="2"/>
      <c r="V635" s="2"/>
      <c r="W635" s="2"/>
    </row>
    <row r="636" spans="1:23">
      <c r="A636" s="13">
        <v>63.4</v>
      </c>
      <c r="B636" s="13">
        <f t="shared" si="0"/>
        <v>0</v>
      </c>
      <c r="C636" s="13" t="str">
        <f>IF(B636&gt;=$S$2, A636, "")</f>
        <v/>
      </c>
      <c r="D636" s="13" t="str">
        <f>IF(AND(B636=1, B636&gt;=$S$2), A636, "")</f>
        <v/>
      </c>
      <c r="E636" s="13">
        <f>IF(B636&gt;=$S$2, B636, 0)</f>
        <v>0</v>
      </c>
      <c r="F636" s="13">
        <f t="shared" si="1"/>
        <v>0</v>
      </c>
      <c r="G636" s="13">
        <f t="shared" si="2"/>
        <v>0</v>
      </c>
      <c r="H636" s="13" t="str">
        <f>IF(B636&gt;=$T$2, A636, "")</f>
        <v/>
      </c>
      <c r="I636" s="14" t="e">
        <f t="shared" si="21"/>
        <v>#N/A</v>
      </c>
      <c r="J636" s="14">
        <v>0.5</v>
      </c>
      <c r="K636" s="14" t="e">
        <f t="shared" si="22"/>
        <v>#N/A</v>
      </c>
      <c r="L636" s="14">
        <v>0.4</v>
      </c>
      <c r="N636" s="4"/>
      <c r="O636" s="4"/>
      <c r="P636" s="5"/>
      <c r="Q636" s="1"/>
      <c r="R636" s="2"/>
      <c r="S636" s="2"/>
      <c r="T636" s="1"/>
      <c r="U636" s="2"/>
      <c r="V636" s="2"/>
      <c r="W636" s="2"/>
    </row>
    <row r="637" spans="1:23">
      <c r="A637" s="13">
        <v>63.5</v>
      </c>
      <c r="B637" s="13">
        <f t="shared" si="0"/>
        <v>0</v>
      </c>
      <c r="C637" s="13" t="str">
        <f>IF(B637&gt;=$S$2, A637, "")</f>
        <v/>
      </c>
      <c r="D637" s="13" t="str">
        <f>IF(AND(B637=1, B637&gt;=$S$2), A637, "")</f>
        <v/>
      </c>
      <c r="E637" s="13">
        <f>IF(B637&gt;=$S$2, B637, 0)</f>
        <v>0</v>
      </c>
      <c r="F637" s="13">
        <f t="shared" si="1"/>
        <v>0</v>
      </c>
      <c r="G637" s="13">
        <f t="shared" si="2"/>
        <v>0</v>
      </c>
      <c r="H637" s="13" t="str">
        <f>IF(B637&gt;=$T$2, A637, "")</f>
        <v/>
      </c>
      <c r="I637" s="14" t="e">
        <f t="shared" si="21"/>
        <v>#N/A</v>
      </c>
      <c r="J637" s="14">
        <v>0.5</v>
      </c>
      <c r="K637" s="14" t="e">
        <f t="shared" si="22"/>
        <v>#N/A</v>
      </c>
      <c r="L637" s="14">
        <v>0.4</v>
      </c>
      <c r="N637" s="4"/>
      <c r="O637" s="4"/>
      <c r="P637" s="5"/>
      <c r="Q637" s="1"/>
      <c r="R637" s="2"/>
      <c r="S637" s="2"/>
      <c r="T637" s="1"/>
      <c r="U637" s="2"/>
      <c r="V637" s="2"/>
      <c r="W637" s="2"/>
    </row>
    <row r="638" spans="1:23">
      <c r="A638" s="13">
        <v>63.6</v>
      </c>
      <c r="B638" s="13">
        <f t="shared" si="0"/>
        <v>0</v>
      </c>
      <c r="C638" s="13" t="str">
        <f>IF(B638&gt;=$S$2, A638, "")</f>
        <v/>
      </c>
      <c r="D638" s="13" t="str">
        <f>IF(AND(B638=1, B638&gt;=$S$2), A638, "")</f>
        <v/>
      </c>
      <c r="E638" s="13">
        <f>IF(B638&gt;=$S$2, B638, 0)</f>
        <v>0</v>
      </c>
      <c r="F638" s="13">
        <f t="shared" si="1"/>
        <v>0</v>
      </c>
      <c r="G638" s="13">
        <f t="shared" si="2"/>
        <v>0</v>
      </c>
      <c r="H638" s="13" t="str">
        <f>IF(B638&gt;=$T$2, A638, "")</f>
        <v/>
      </c>
      <c r="I638" s="14" t="e">
        <f t="shared" si="21"/>
        <v>#N/A</v>
      </c>
      <c r="J638" s="14">
        <v>0.5</v>
      </c>
      <c r="K638" s="14" t="e">
        <f t="shared" si="22"/>
        <v>#N/A</v>
      </c>
      <c r="L638" s="14">
        <v>0.4</v>
      </c>
      <c r="N638" s="4"/>
      <c r="O638" s="4"/>
      <c r="P638" s="5"/>
      <c r="Q638" s="1"/>
      <c r="R638" s="2"/>
      <c r="S638" s="2"/>
      <c r="T638" s="1"/>
      <c r="U638" s="2"/>
      <c r="V638" s="2"/>
      <c r="W638" s="2"/>
    </row>
    <row r="639" spans="1:23">
      <c r="A639" s="13">
        <v>63.7</v>
      </c>
      <c r="B639" s="13">
        <f t="shared" si="0"/>
        <v>0</v>
      </c>
      <c r="C639" s="13" t="str">
        <f>IF(B639&gt;=$S$2, A639, "")</f>
        <v/>
      </c>
      <c r="D639" s="13" t="str">
        <f>IF(AND(B639=1, B639&gt;=$S$2), A639, "")</f>
        <v/>
      </c>
      <c r="E639" s="13">
        <f>IF(B639&gt;=$S$2, B639, 0)</f>
        <v>0</v>
      </c>
      <c r="F639" s="13">
        <f t="shared" si="1"/>
        <v>0</v>
      </c>
      <c r="G639" s="13">
        <f t="shared" si="2"/>
        <v>0</v>
      </c>
      <c r="H639" s="13" t="str">
        <f>IF(B639&gt;=$T$2, A639, "")</f>
        <v/>
      </c>
      <c r="I639" s="14" t="e">
        <f t="shared" si="21"/>
        <v>#N/A</v>
      </c>
      <c r="J639" s="14">
        <v>0.5</v>
      </c>
      <c r="K639" s="14" t="e">
        <f t="shared" si="22"/>
        <v>#N/A</v>
      </c>
      <c r="L639" s="14">
        <v>0.4</v>
      </c>
      <c r="N639" s="4"/>
      <c r="O639" s="4"/>
      <c r="P639" s="5"/>
      <c r="Q639" s="1"/>
      <c r="R639" s="2"/>
      <c r="S639" s="2"/>
      <c r="T639" s="1"/>
      <c r="U639" s="2"/>
      <c r="V639" s="2"/>
      <c r="W639" s="2"/>
    </row>
    <row r="640" spans="1:23">
      <c r="A640" s="13">
        <v>63.8</v>
      </c>
      <c r="B640" s="13">
        <f t="shared" si="0"/>
        <v>0</v>
      </c>
      <c r="C640" s="13" t="str">
        <f>IF(B640&gt;=$S$2, A640, "")</f>
        <v/>
      </c>
      <c r="D640" s="13" t="str">
        <f>IF(AND(B640=1, B640&gt;=$S$2), A640, "")</f>
        <v/>
      </c>
      <c r="E640" s="13">
        <f>IF(B640&gt;=$S$2, B640, 0)</f>
        <v>0</v>
      </c>
      <c r="F640" s="13">
        <f t="shared" si="1"/>
        <v>0</v>
      </c>
      <c r="G640" s="13">
        <f t="shared" si="2"/>
        <v>0</v>
      </c>
      <c r="H640" s="13" t="str">
        <f>IF(B640&gt;=$T$2, A640, "")</f>
        <v/>
      </c>
      <c r="I640" s="14" t="e">
        <f t="shared" si="21"/>
        <v>#N/A</v>
      </c>
      <c r="J640" s="14">
        <v>0.5</v>
      </c>
      <c r="K640" s="14" t="e">
        <f t="shared" si="22"/>
        <v>#N/A</v>
      </c>
      <c r="L640" s="14">
        <v>0.4</v>
      </c>
      <c r="N640" s="4"/>
      <c r="O640" s="4"/>
      <c r="P640" s="5"/>
      <c r="Q640" s="1"/>
      <c r="R640" s="2"/>
      <c r="S640" s="2"/>
      <c r="T640" s="1"/>
      <c r="U640" s="2"/>
      <c r="V640" s="2"/>
      <c r="W640" s="2"/>
    </row>
    <row r="641" spans="1:23">
      <c r="A641" s="13">
        <v>63.9</v>
      </c>
      <c r="B641" s="13">
        <f t="shared" si="0"/>
        <v>0</v>
      </c>
      <c r="C641" s="13" t="str">
        <f>IF(B641&gt;=$S$2, A641, "")</f>
        <v/>
      </c>
      <c r="D641" s="13" t="str">
        <f>IF(AND(B641=1, B641&gt;=$S$2), A641, "")</f>
        <v/>
      </c>
      <c r="E641" s="13">
        <f>IF(B641&gt;=$S$2, B641, 0)</f>
        <v>0</v>
      </c>
      <c r="F641" s="13">
        <f t="shared" si="1"/>
        <v>0</v>
      </c>
      <c r="G641" s="13">
        <f t="shared" si="2"/>
        <v>0</v>
      </c>
      <c r="H641" s="13" t="str">
        <f>IF(B641&gt;=$T$2, A641, "")</f>
        <v/>
      </c>
      <c r="I641" s="14" t="e">
        <f t="shared" si="21"/>
        <v>#N/A</v>
      </c>
      <c r="J641" s="14">
        <v>0.5</v>
      </c>
      <c r="K641" s="14" t="e">
        <f t="shared" si="22"/>
        <v>#N/A</v>
      </c>
      <c r="L641" s="14">
        <v>0.4</v>
      </c>
      <c r="N641" s="4"/>
      <c r="O641" s="4"/>
      <c r="P641" s="5"/>
      <c r="Q641" s="1"/>
      <c r="R641" s="2"/>
      <c r="S641" s="2"/>
      <c r="T641" s="1"/>
      <c r="U641" s="2"/>
      <c r="V641" s="2"/>
      <c r="W641" s="2"/>
    </row>
    <row r="642" spans="1:23">
      <c r="A642" s="13">
        <v>64</v>
      </c>
      <c r="B642" s="13">
        <f t="shared" si="0"/>
        <v>0</v>
      </c>
      <c r="C642" s="13" t="str">
        <f>IF(B642&gt;=$S$2, A642, "")</f>
        <v/>
      </c>
      <c r="D642" s="13" t="str">
        <f>IF(AND(B642=1, B642&gt;=$S$2), A642, "")</f>
        <v/>
      </c>
      <c r="E642" s="13">
        <f>IF(B642&gt;=$S$2, B642, 0)</f>
        <v>0</v>
      </c>
      <c r="F642" s="13">
        <f t="shared" si="1"/>
        <v>0</v>
      </c>
      <c r="G642" s="13">
        <f t="shared" si="2"/>
        <v>0</v>
      </c>
      <c r="H642" s="13" t="str">
        <f>IF(B642&gt;=$T$2, A642, "")</f>
        <v/>
      </c>
      <c r="I642" s="14" t="e">
        <f t="shared" si="21"/>
        <v>#N/A</v>
      </c>
      <c r="J642" s="14">
        <v>0.5</v>
      </c>
      <c r="K642" s="14" t="e">
        <f t="shared" si="22"/>
        <v>#N/A</v>
      </c>
      <c r="L642" s="14">
        <v>0.4</v>
      </c>
      <c r="N642" s="4"/>
      <c r="O642" s="4"/>
      <c r="P642" s="5"/>
      <c r="Q642" s="1"/>
      <c r="R642" s="2"/>
      <c r="S642" s="2"/>
      <c r="T642" s="1"/>
      <c r="U642" s="2"/>
      <c r="V642" s="2"/>
      <c r="W642" s="2"/>
    </row>
    <row r="643" spans="1:23">
      <c r="A643" s="13">
        <v>64.099999999999994</v>
      </c>
      <c r="B643" s="13">
        <f t="shared" si="0"/>
        <v>0</v>
      </c>
      <c r="C643" s="13" t="str">
        <f>IF(B643&gt;=$S$2, A643, "")</f>
        <v/>
      </c>
      <c r="D643" s="13" t="str">
        <f>IF(AND(B643=1, B643&gt;=$S$2), A643, "")</f>
        <v/>
      </c>
      <c r="E643" s="13">
        <f>IF(B643&gt;=$S$2, B643, 0)</f>
        <v>0</v>
      </c>
      <c r="F643" s="13">
        <f t="shared" si="1"/>
        <v>0</v>
      </c>
      <c r="G643" s="13">
        <f t="shared" si="2"/>
        <v>0</v>
      </c>
      <c r="H643" s="13" t="str">
        <f>IF(B643&gt;=$T$2, A643, "")</f>
        <v/>
      </c>
      <c r="I643" s="14" t="e">
        <f t="shared" ref="I643:I702" si="23">IF($B643&gt;=0.5, $B643, #N/A)</f>
        <v>#N/A</v>
      </c>
      <c r="J643" s="14">
        <v>0.5</v>
      </c>
      <c r="K643" s="14" t="e">
        <f t="shared" ref="K643:K702" si="24">IF($B643&gt;=0.4, $B643, #N/A)</f>
        <v>#N/A</v>
      </c>
      <c r="L643" s="14">
        <v>0.4</v>
      </c>
      <c r="N643" s="4"/>
      <c r="O643" s="4"/>
      <c r="P643" s="5"/>
      <c r="Q643" s="1"/>
      <c r="R643" s="2"/>
      <c r="S643" s="2"/>
      <c r="T643" s="1"/>
      <c r="U643" s="2"/>
      <c r="V643" s="2"/>
      <c r="W643" s="2"/>
    </row>
    <row r="644" spans="1:23">
      <c r="A644" s="13">
        <v>64.2</v>
      </c>
      <c r="B644" s="13">
        <f t="shared" si="0"/>
        <v>0</v>
      </c>
      <c r="C644" s="13" t="str">
        <f>IF(B644&gt;=$S$2, A644, "")</f>
        <v/>
      </c>
      <c r="D644" s="13" t="str">
        <f>IF(AND(B644=1, B644&gt;=$S$2), A644, "")</f>
        <v/>
      </c>
      <c r="E644" s="13">
        <f>IF(B644&gt;=$S$2, B644, 0)</f>
        <v>0</v>
      </c>
      <c r="F644" s="13">
        <f t="shared" si="1"/>
        <v>0</v>
      </c>
      <c r="G644" s="13">
        <f t="shared" si="2"/>
        <v>0</v>
      </c>
      <c r="H644" s="13" t="str">
        <f>IF(B644&gt;=$T$2, A644, "")</f>
        <v/>
      </c>
      <c r="I644" s="14" t="e">
        <f t="shared" si="23"/>
        <v>#N/A</v>
      </c>
      <c r="J644" s="14">
        <v>0.5</v>
      </c>
      <c r="K644" s="14" t="e">
        <f t="shared" si="24"/>
        <v>#N/A</v>
      </c>
      <c r="L644" s="14">
        <v>0.4</v>
      </c>
      <c r="N644" s="4"/>
      <c r="O644" s="4"/>
      <c r="P644" s="5"/>
      <c r="Q644" s="1"/>
      <c r="R644" s="2"/>
      <c r="S644" s="2"/>
      <c r="T644" s="1"/>
      <c r="U644" s="2"/>
      <c r="V644" s="2"/>
      <c r="W644" s="2"/>
    </row>
    <row r="645" spans="1:23">
      <c r="A645" s="13">
        <v>64.3</v>
      </c>
      <c r="B645" s="13">
        <f t="shared" si="0"/>
        <v>0</v>
      </c>
      <c r="C645" s="13" t="str">
        <f>IF(B645&gt;=$S$2, A645, "")</f>
        <v/>
      </c>
      <c r="D645" s="13" t="str">
        <f>IF(AND(B645=1, B645&gt;=$S$2), A645, "")</f>
        <v/>
      </c>
      <c r="E645" s="13">
        <f>IF(B645&gt;=$S$2, B645, 0)</f>
        <v>0</v>
      </c>
      <c r="F645" s="13">
        <f t="shared" si="1"/>
        <v>0</v>
      </c>
      <c r="G645" s="13">
        <f t="shared" si="2"/>
        <v>0</v>
      </c>
      <c r="H645" s="13" t="str">
        <f>IF(B645&gt;=$T$2, A645, "")</f>
        <v/>
      </c>
      <c r="I645" s="14" t="e">
        <f t="shared" si="23"/>
        <v>#N/A</v>
      </c>
      <c r="J645" s="14">
        <v>0.5</v>
      </c>
      <c r="K645" s="14" t="e">
        <f t="shared" si="24"/>
        <v>#N/A</v>
      </c>
      <c r="L645" s="14">
        <v>0.4</v>
      </c>
      <c r="N645" s="4"/>
      <c r="O645" s="4"/>
      <c r="P645" s="5"/>
      <c r="Q645" s="1"/>
      <c r="R645" s="2"/>
      <c r="S645" s="2"/>
      <c r="T645" s="1"/>
      <c r="U645" s="2"/>
      <c r="V645" s="2"/>
      <c r="W645" s="2"/>
    </row>
    <row r="646" spans="1:23">
      <c r="A646" s="13">
        <v>64.400000000000006</v>
      </c>
      <c r="B646" s="13">
        <f t="shared" si="0"/>
        <v>0</v>
      </c>
      <c r="C646" s="13" t="str">
        <f>IF(B646&gt;=$S$2, A646, "")</f>
        <v/>
      </c>
      <c r="D646" s="13" t="str">
        <f>IF(AND(B646=1, B646&gt;=$S$2), A646, "")</f>
        <v/>
      </c>
      <c r="E646" s="13">
        <f>IF(B646&gt;=$S$2, B646, 0)</f>
        <v>0</v>
      </c>
      <c r="F646" s="13">
        <f t="shared" si="1"/>
        <v>0</v>
      </c>
      <c r="G646" s="13">
        <f t="shared" si="2"/>
        <v>0</v>
      </c>
      <c r="H646" s="13" t="str">
        <f>IF(B646&gt;=$T$2, A646, "")</f>
        <v/>
      </c>
      <c r="I646" s="14" t="e">
        <f t="shared" si="23"/>
        <v>#N/A</v>
      </c>
      <c r="J646" s="14">
        <v>0.5</v>
      </c>
      <c r="K646" s="14" t="e">
        <f t="shared" si="24"/>
        <v>#N/A</v>
      </c>
      <c r="L646" s="14">
        <v>0.4</v>
      </c>
      <c r="N646" s="4"/>
      <c r="O646" s="4"/>
      <c r="P646" s="5"/>
      <c r="Q646" s="1"/>
      <c r="R646" s="2"/>
      <c r="S646" s="2"/>
      <c r="T646" s="1"/>
      <c r="U646" s="2"/>
      <c r="V646" s="2"/>
      <c r="W646" s="2"/>
    </row>
    <row r="647" spans="1:23">
      <c r="A647" s="13">
        <v>64.5</v>
      </c>
      <c r="B647" s="13">
        <f t="shared" si="0"/>
        <v>0</v>
      </c>
      <c r="C647" s="13" t="str">
        <f>IF(B647&gt;=$S$2, A647, "")</f>
        <v/>
      </c>
      <c r="D647" s="13" t="str">
        <f>IF(AND(B647=1, B647&gt;=$S$2), A647, "")</f>
        <v/>
      </c>
      <c r="E647" s="13">
        <f>IF(B647&gt;=$S$2, B647, 0)</f>
        <v>0</v>
      </c>
      <c r="F647" s="13">
        <f t="shared" si="1"/>
        <v>0</v>
      </c>
      <c r="G647" s="13">
        <f t="shared" si="2"/>
        <v>0</v>
      </c>
      <c r="H647" s="13" t="str">
        <f>IF(B647&gt;=$T$2, A647, "")</f>
        <v/>
      </c>
      <c r="I647" s="14" t="e">
        <f t="shared" si="23"/>
        <v>#N/A</v>
      </c>
      <c r="J647" s="14">
        <v>0.5</v>
      </c>
      <c r="K647" s="14" t="e">
        <f t="shared" si="24"/>
        <v>#N/A</v>
      </c>
      <c r="L647" s="14">
        <v>0.4</v>
      </c>
      <c r="N647" s="4"/>
      <c r="O647" s="4"/>
      <c r="P647" s="5"/>
      <c r="Q647" s="1"/>
      <c r="R647" s="2"/>
      <c r="S647" s="2"/>
      <c r="T647" s="1"/>
      <c r="U647" s="2"/>
      <c r="V647" s="2"/>
      <c r="W647" s="2"/>
    </row>
    <row r="648" spans="1:23">
      <c r="A648" s="13">
        <v>64.599999999999994</v>
      </c>
      <c r="B648" s="13">
        <f t="shared" si="0"/>
        <v>0</v>
      </c>
      <c r="C648" s="13" t="str">
        <f>IF(B648&gt;=$S$2, A648, "")</f>
        <v/>
      </c>
      <c r="D648" s="13" t="str">
        <f>IF(AND(B648=1, B648&gt;=$S$2), A648, "")</f>
        <v/>
      </c>
      <c r="E648" s="13">
        <f>IF(B648&gt;=$S$2, B648, 0)</f>
        <v>0</v>
      </c>
      <c r="F648" s="13">
        <f t="shared" si="1"/>
        <v>0</v>
      </c>
      <c r="G648" s="13">
        <f t="shared" si="2"/>
        <v>0</v>
      </c>
      <c r="H648" s="13" t="str">
        <f>IF(B648&gt;=$T$2, A648, "")</f>
        <v/>
      </c>
      <c r="I648" s="14" t="e">
        <f t="shared" si="23"/>
        <v>#N/A</v>
      </c>
      <c r="J648" s="14">
        <v>0.5</v>
      </c>
      <c r="K648" s="14" t="e">
        <f t="shared" si="24"/>
        <v>#N/A</v>
      </c>
      <c r="L648" s="14">
        <v>0.4</v>
      </c>
      <c r="N648" s="4"/>
      <c r="O648" s="4"/>
      <c r="P648" s="5"/>
      <c r="Q648" s="1"/>
      <c r="R648" s="2"/>
      <c r="S648" s="2"/>
      <c r="T648" s="1"/>
      <c r="U648" s="2"/>
      <c r="V648" s="2"/>
      <c r="W648" s="2"/>
    </row>
    <row r="649" spans="1:23">
      <c r="A649" s="13">
        <v>64.7</v>
      </c>
      <c r="B649" s="13">
        <f t="shared" si="0"/>
        <v>0</v>
      </c>
      <c r="C649" s="13" t="str">
        <f>IF(B649&gt;=$S$2, A649, "")</f>
        <v/>
      </c>
      <c r="D649" s="13" t="str">
        <f>IF(AND(B649=1, B649&gt;=$S$2), A649, "")</f>
        <v/>
      </c>
      <c r="E649" s="13">
        <f>IF(B649&gt;=$S$2, B649, 0)</f>
        <v>0</v>
      </c>
      <c r="F649" s="13">
        <f t="shared" si="1"/>
        <v>0</v>
      </c>
      <c r="G649" s="13">
        <f t="shared" si="2"/>
        <v>0</v>
      </c>
      <c r="H649" s="13" t="str">
        <f>IF(B649&gt;=$T$2, A649, "")</f>
        <v/>
      </c>
      <c r="I649" s="14" t="e">
        <f t="shared" si="23"/>
        <v>#N/A</v>
      </c>
      <c r="J649" s="14">
        <v>0.5</v>
      </c>
      <c r="K649" s="14" t="e">
        <f t="shared" si="24"/>
        <v>#N/A</v>
      </c>
      <c r="L649" s="14">
        <v>0.4</v>
      </c>
      <c r="N649" s="4"/>
      <c r="O649" s="4"/>
      <c r="P649" s="5"/>
      <c r="Q649" s="1"/>
      <c r="R649" s="2"/>
      <c r="S649" s="2"/>
      <c r="T649" s="1"/>
      <c r="U649" s="2"/>
      <c r="V649" s="2"/>
      <c r="W649" s="2"/>
    </row>
    <row r="650" spans="1:23">
      <c r="A650" s="13">
        <v>64.8</v>
      </c>
      <c r="B650" s="13">
        <f t="shared" si="0"/>
        <v>0</v>
      </c>
      <c r="C650" s="13" t="str">
        <f>IF(B650&gt;=$S$2, A650, "")</f>
        <v/>
      </c>
      <c r="D650" s="13" t="str">
        <f>IF(AND(B650=1, B650&gt;=$S$2), A650, "")</f>
        <v/>
      </c>
      <c r="E650" s="13">
        <f>IF(B650&gt;=$S$2, B650, 0)</f>
        <v>0</v>
      </c>
      <c r="F650" s="13">
        <f t="shared" si="1"/>
        <v>0</v>
      </c>
      <c r="G650" s="13">
        <f t="shared" si="2"/>
        <v>0</v>
      </c>
      <c r="H650" s="13" t="str">
        <f>IF(B650&gt;=$T$2, A650, "")</f>
        <v/>
      </c>
      <c r="I650" s="14" t="e">
        <f t="shared" si="23"/>
        <v>#N/A</v>
      </c>
      <c r="J650" s="14">
        <v>0.5</v>
      </c>
      <c r="K650" s="14" t="e">
        <f t="shared" si="24"/>
        <v>#N/A</v>
      </c>
      <c r="L650" s="14">
        <v>0.4</v>
      </c>
      <c r="N650" s="4"/>
      <c r="O650" s="4"/>
      <c r="P650" s="5"/>
      <c r="Q650" s="1"/>
      <c r="R650" s="2"/>
      <c r="S650" s="2"/>
      <c r="T650" s="1"/>
      <c r="U650" s="2"/>
      <c r="V650" s="2"/>
      <c r="W650" s="2"/>
    </row>
    <row r="651" spans="1:23">
      <c r="A651" s="13">
        <v>64.900000000000006</v>
      </c>
      <c r="B651" s="13">
        <f t="shared" si="0"/>
        <v>0</v>
      </c>
      <c r="C651" s="13" t="str">
        <f>IF(B651&gt;=$S$2, A651, "")</f>
        <v/>
      </c>
      <c r="D651" s="13" t="str">
        <f>IF(AND(B651=1, B651&gt;=$S$2), A651, "")</f>
        <v/>
      </c>
      <c r="E651" s="13">
        <f>IF(B651&gt;=$S$2, B651, 0)</f>
        <v>0</v>
      </c>
      <c r="F651" s="13">
        <f t="shared" si="1"/>
        <v>0</v>
      </c>
      <c r="G651" s="13">
        <f t="shared" si="2"/>
        <v>0</v>
      </c>
      <c r="H651" s="13" t="str">
        <f>IF(B651&gt;=$T$2, A651, "")</f>
        <v/>
      </c>
      <c r="I651" s="14" t="e">
        <f t="shared" si="23"/>
        <v>#N/A</v>
      </c>
      <c r="J651" s="14">
        <v>0.5</v>
      </c>
      <c r="K651" s="14" t="e">
        <f t="shared" si="24"/>
        <v>#N/A</v>
      </c>
      <c r="L651" s="14">
        <v>0.4</v>
      </c>
      <c r="N651" s="4"/>
      <c r="O651" s="4"/>
      <c r="P651" s="5"/>
      <c r="Q651" s="1"/>
      <c r="R651" s="2"/>
      <c r="S651" s="2"/>
      <c r="T651" s="1"/>
      <c r="U651" s="2"/>
      <c r="V651" s="2"/>
      <c r="W651" s="2"/>
    </row>
    <row r="652" spans="1:23">
      <c r="A652" s="13">
        <v>65</v>
      </c>
      <c r="B652" s="13">
        <f t="shared" si="0"/>
        <v>0</v>
      </c>
      <c r="C652" s="13" t="str">
        <f>IF(B652&gt;=$S$2, A652, "")</f>
        <v/>
      </c>
      <c r="D652" s="13" t="str">
        <f>IF(AND(B652=1, B652&gt;=$S$2), A652, "")</f>
        <v/>
      </c>
      <c r="E652" s="13">
        <f>IF(B652&gt;=$S$2, B652, 0)</f>
        <v>0</v>
      </c>
      <c r="F652" s="13">
        <f t="shared" si="1"/>
        <v>0</v>
      </c>
      <c r="G652" s="13">
        <f t="shared" si="2"/>
        <v>0</v>
      </c>
      <c r="H652" s="13" t="str">
        <f>IF(B652&gt;=$T$2, A652, "")</f>
        <v/>
      </c>
      <c r="I652" s="14" t="e">
        <f t="shared" si="23"/>
        <v>#N/A</v>
      </c>
      <c r="J652" s="14">
        <v>0.5</v>
      </c>
      <c r="K652" s="14" t="e">
        <f t="shared" si="24"/>
        <v>#N/A</v>
      </c>
      <c r="L652" s="14">
        <v>0.4</v>
      </c>
      <c r="N652" s="4"/>
      <c r="O652" s="4"/>
      <c r="P652" s="5"/>
      <c r="Q652" s="1"/>
      <c r="R652" s="2"/>
      <c r="S652" s="2"/>
      <c r="T652" s="1"/>
      <c r="U652" s="2"/>
      <c r="V652" s="2"/>
      <c r="W652" s="2"/>
    </row>
    <row r="653" spans="1:23">
      <c r="A653" s="13">
        <v>65.099999999999994</v>
      </c>
      <c r="B653" s="13">
        <f t="shared" si="0"/>
        <v>0</v>
      </c>
      <c r="C653" s="13" t="str">
        <f>IF(B653&gt;=$S$2, A653, "")</f>
        <v/>
      </c>
      <c r="D653" s="13" t="str">
        <f>IF(AND(B653=1, B653&gt;=$S$2), A653, "")</f>
        <v/>
      </c>
      <c r="E653" s="13">
        <f>IF(B653&gt;=$S$2, B653, 0)</f>
        <v>0</v>
      </c>
      <c r="F653" s="13">
        <f t="shared" si="1"/>
        <v>0</v>
      </c>
      <c r="G653" s="13">
        <f t="shared" si="2"/>
        <v>0</v>
      </c>
      <c r="H653" s="13" t="str">
        <f>IF(B653&gt;=$T$2, A653, "")</f>
        <v/>
      </c>
      <c r="I653" s="14" t="e">
        <f t="shared" si="23"/>
        <v>#N/A</v>
      </c>
      <c r="J653" s="14">
        <v>0.5</v>
      </c>
      <c r="K653" s="14" t="e">
        <f t="shared" si="24"/>
        <v>#N/A</v>
      </c>
      <c r="L653" s="14">
        <v>0.4</v>
      </c>
      <c r="N653" s="4"/>
      <c r="O653" s="4"/>
      <c r="P653" s="5"/>
      <c r="Q653" s="1"/>
      <c r="R653" s="2"/>
      <c r="S653" s="2"/>
      <c r="T653" s="1"/>
      <c r="U653" s="2"/>
      <c r="V653" s="2"/>
      <c r="W653" s="2"/>
    </row>
    <row r="654" spans="1:23">
      <c r="A654" s="13">
        <v>65.2</v>
      </c>
      <c r="B654" s="13">
        <f t="shared" si="0"/>
        <v>0</v>
      </c>
      <c r="C654" s="13" t="str">
        <f>IF(B654&gt;=$S$2, A654, "")</f>
        <v/>
      </c>
      <c r="D654" s="13" t="str">
        <f>IF(AND(B654=1, B654&gt;=$S$2), A654, "")</f>
        <v/>
      </c>
      <c r="E654" s="13">
        <f>IF(B654&gt;=$S$2, B654, 0)</f>
        <v>0</v>
      </c>
      <c r="F654" s="13">
        <f t="shared" si="1"/>
        <v>0</v>
      </c>
      <c r="G654" s="13">
        <f t="shared" si="2"/>
        <v>0</v>
      </c>
      <c r="H654" s="13" t="str">
        <f>IF(B654&gt;=$T$2, A654, "")</f>
        <v/>
      </c>
      <c r="I654" s="14" t="e">
        <f t="shared" si="23"/>
        <v>#N/A</v>
      </c>
      <c r="J654" s="14">
        <v>0.5</v>
      </c>
      <c r="K654" s="14" t="e">
        <f t="shared" si="24"/>
        <v>#N/A</v>
      </c>
      <c r="L654" s="14">
        <v>0.4</v>
      </c>
      <c r="N654" s="4"/>
      <c r="O654" s="4"/>
      <c r="P654" s="5"/>
      <c r="Q654" s="1"/>
      <c r="R654" s="2"/>
      <c r="S654" s="2"/>
      <c r="T654" s="1"/>
      <c r="U654" s="2"/>
      <c r="V654" s="2"/>
      <c r="W654" s="2"/>
    </row>
    <row r="655" spans="1:23">
      <c r="A655" s="13">
        <v>65.3</v>
      </c>
      <c r="B655" s="13">
        <f t="shared" si="0"/>
        <v>0</v>
      </c>
      <c r="C655" s="13" t="str">
        <f>IF(B655&gt;=$S$2, A655, "")</f>
        <v/>
      </c>
      <c r="D655" s="13" t="str">
        <f>IF(AND(B655=1, B655&gt;=$S$2), A655, "")</f>
        <v/>
      </c>
      <c r="E655" s="13">
        <f>IF(B655&gt;=$S$2, B655, 0)</f>
        <v>0</v>
      </c>
      <c r="F655" s="13">
        <f t="shared" si="1"/>
        <v>0</v>
      </c>
      <c r="G655" s="13">
        <f t="shared" si="2"/>
        <v>0</v>
      </c>
      <c r="H655" s="13" t="str">
        <f>IF(B655&gt;=$T$2, A655, "")</f>
        <v/>
      </c>
      <c r="I655" s="14" t="e">
        <f t="shared" si="23"/>
        <v>#N/A</v>
      </c>
      <c r="J655" s="14">
        <v>0.5</v>
      </c>
      <c r="K655" s="14" t="e">
        <f t="shared" si="24"/>
        <v>#N/A</v>
      </c>
      <c r="L655" s="14">
        <v>0.4</v>
      </c>
      <c r="N655" s="4"/>
      <c r="O655" s="4"/>
      <c r="P655" s="5"/>
      <c r="Q655" s="1"/>
      <c r="R655" s="2"/>
      <c r="S655" s="2"/>
      <c r="T655" s="1"/>
      <c r="U655" s="2"/>
      <c r="V655" s="2"/>
      <c r="W655" s="2"/>
    </row>
    <row r="656" spans="1:23">
      <c r="A656" s="13">
        <v>65.400000000000006</v>
      </c>
      <c r="B656" s="13">
        <f t="shared" si="0"/>
        <v>0</v>
      </c>
      <c r="C656" s="13" t="str">
        <f>IF(B656&gt;=$S$2, A656, "")</f>
        <v/>
      </c>
      <c r="D656" s="13" t="str">
        <f>IF(AND(B656=1, B656&gt;=$S$2), A656, "")</f>
        <v/>
      </c>
      <c r="E656" s="13">
        <f>IF(B656&gt;=$S$2, B656, 0)</f>
        <v>0</v>
      </c>
      <c r="F656" s="13">
        <f t="shared" si="1"/>
        <v>0</v>
      </c>
      <c r="G656" s="13">
        <f t="shared" si="2"/>
        <v>0</v>
      </c>
      <c r="H656" s="13" t="str">
        <f>IF(B656&gt;=$T$2, A656, "")</f>
        <v/>
      </c>
      <c r="I656" s="14" t="e">
        <f t="shared" si="23"/>
        <v>#N/A</v>
      </c>
      <c r="J656" s="14">
        <v>0.5</v>
      </c>
      <c r="K656" s="14" t="e">
        <f t="shared" si="24"/>
        <v>#N/A</v>
      </c>
      <c r="L656" s="14">
        <v>0.4</v>
      </c>
      <c r="N656" s="4"/>
      <c r="O656" s="4"/>
      <c r="P656" s="5"/>
      <c r="Q656" s="1"/>
      <c r="R656" s="2"/>
      <c r="S656" s="2"/>
      <c r="T656" s="1"/>
      <c r="U656" s="2"/>
      <c r="V656" s="2"/>
      <c r="W656" s="2"/>
    </row>
    <row r="657" spans="1:23">
      <c r="A657" s="13">
        <v>65.5</v>
      </c>
      <c r="B657" s="13">
        <f t="shared" si="0"/>
        <v>0</v>
      </c>
      <c r="C657" s="13" t="str">
        <f>IF(B657&gt;=$S$2, A657, "")</f>
        <v/>
      </c>
      <c r="D657" s="13" t="str">
        <f>IF(AND(B657=1, B657&gt;=$S$2), A657, "")</f>
        <v/>
      </c>
      <c r="E657" s="13">
        <f>IF(B657&gt;=$S$2, B657, 0)</f>
        <v>0</v>
      </c>
      <c r="F657" s="13">
        <f t="shared" si="1"/>
        <v>0</v>
      </c>
      <c r="G657" s="13">
        <f t="shared" si="2"/>
        <v>0</v>
      </c>
      <c r="H657" s="13" t="str">
        <f>IF(B657&gt;=$T$2, A657, "")</f>
        <v/>
      </c>
      <c r="I657" s="14" t="e">
        <f t="shared" si="23"/>
        <v>#N/A</v>
      </c>
      <c r="J657" s="14">
        <v>0.5</v>
      </c>
      <c r="K657" s="14" t="e">
        <f t="shared" si="24"/>
        <v>#N/A</v>
      </c>
      <c r="L657" s="14">
        <v>0.4</v>
      </c>
      <c r="N657" s="4"/>
      <c r="O657" s="4"/>
      <c r="P657" s="5"/>
      <c r="Q657" s="1"/>
      <c r="R657" s="2"/>
      <c r="S657" s="2"/>
      <c r="T657" s="1"/>
      <c r="U657" s="2"/>
      <c r="V657" s="2"/>
      <c r="W657" s="2"/>
    </row>
    <row r="658" spans="1:23">
      <c r="A658" s="13">
        <v>65.599999999999994</v>
      </c>
      <c r="B658" s="13">
        <f t="shared" si="0"/>
        <v>0</v>
      </c>
      <c r="C658" s="13" t="str">
        <f>IF(B658&gt;=$S$2, A658, "")</f>
        <v/>
      </c>
      <c r="D658" s="13" t="str">
        <f>IF(AND(B658=1, B658&gt;=$S$2), A658, "")</f>
        <v/>
      </c>
      <c r="E658" s="13">
        <f>IF(B658&gt;=$S$2, B658, 0)</f>
        <v>0</v>
      </c>
      <c r="F658" s="13">
        <f t="shared" si="1"/>
        <v>0</v>
      </c>
      <c r="G658" s="13">
        <f t="shared" si="2"/>
        <v>0</v>
      </c>
      <c r="H658" s="13" t="str">
        <f>IF(B658&gt;=$T$2, A658, "")</f>
        <v/>
      </c>
      <c r="I658" s="14" t="e">
        <f t="shared" si="23"/>
        <v>#N/A</v>
      </c>
      <c r="J658" s="14">
        <v>0.5</v>
      </c>
      <c r="K658" s="14" t="e">
        <f t="shared" si="24"/>
        <v>#N/A</v>
      </c>
      <c r="L658" s="14">
        <v>0.4</v>
      </c>
      <c r="N658" s="4"/>
      <c r="O658" s="4"/>
      <c r="P658" s="5"/>
      <c r="Q658" s="1"/>
      <c r="R658" s="2"/>
      <c r="S658" s="2"/>
      <c r="T658" s="1"/>
      <c r="U658" s="2"/>
      <c r="V658" s="2"/>
      <c r="W658" s="2"/>
    </row>
    <row r="659" spans="1:23">
      <c r="A659" s="13">
        <v>65.7</v>
      </c>
      <c r="B659" s="13">
        <f t="shared" si="0"/>
        <v>0</v>
      </c>
      <c r="C659" s="13" t="str">
        <f>IF(B659&gt;=$S$2, A659, "")</f>
        <v/>
      </c>
      <c r="D659" s="13" t="str">
        <f>IF(AND(B659=1, B659&gt;=$S$2), A659, "")</f>
        <v/>
      </c>
      <c r="E659" s="13">
        <f>IF(B659&gt;=$S$2, B659, 0)</f>
        <v>0</v>
      </c>
      <c r="F659" s="13">
        <f t="shared" si="1"/>
        <v>0</v>
      </c>
      <c r="G659" s="13">
        <f t="shared" si="2"/>
        <v>0</v>
      </c>
      <c r="H659" s="13" t="str">
        <f>IF(B659&gt;=$T$2, A659, "")</f>
        <v/>
      </c>
      <c r="I659" s="14" t="e">
        <f t="shared" si="23"/>
        <v>#N/A</v>
      </c>
      <c r="J659" s="14">
        <v>0.5</v>
      </c>
      <c r="K659" s="14" t="e">
        <f t="shared" si="24"/>
        <v>#N/A</v>
      </c>
      <c r="L659" s="14">
        <v>0.4</v>
      </c>
      <c r="N659" s="4"/>
      <c r="O659" s="4"/>
      <c r="P659" s="5"/>
      <c r="Q659" s="1"/>
      <c r="R659" s="2"/>
      <c r="S659" s="2"/>
      <c r="T659" s="1"/>
      <c r="U659" s="2"/>
      <c r="V659" s="2"/>
      <c r="W659" s="2"/>
    </row>
    <row r="660" spans="1:23">
      <c r="A660" s="13">
        <v>65.8</v>
      </c>
      <c r="B660" s="13">
        <f t="shared" si="0"/>
        <v>0</v>
      </c>
      <c r="C660" s="13" t="str">
        <f>IF(B660&gt;=$S$2, A660, "")</f>
        <v/>
      </c>
      <c r="D660" s="13" t="str">
        <f>IF(AND(B660=1, B660&gt;=$S$2), A660, "")</f>
        <v/>
      </c>
      <c r="E660" s="13">
        <f>IF(B660&gt;=$S$2, B660, 0)</f>
        <v>0</v>
      </c>
      <c r="F660" s="13">
        <f t="shared" si="1"/>
        <v>0</v>
      </c>
      <c r="G660" s="13">
        <f t="shared" si="2"/>
        <v>0</v>
      </c>
      <c r="H660" s="13" t="str">
        <f>IF(B660&gt;=$T$2, A660, "")</f>
        <v/>
      </c>
      <c r="I660" s="14" t="e">
        <f t="shared" si="23"/>
        <v>#N/A</v>
      </c>
      <c r="J660" s="14">
        <v>0.5</v>
      </c>
      <c r="K660" s="14" t="e">
        <f t="shared" si="24"/>
        <v>#N/A</v>
      </c>
      <c r="L660" s="14">
        <v>0.4</v>
      </c>
      <c r="N660" s="4"/>
      <c r="O660" s="4"/>
      <c r="P660" s="5"/>
      <c r="Q660" s="1"/>
      <c r="R660" s="2"/>
      <c r="S660" s="2"/>
      <c r="T660" s="1"/>
      <c r="U660" s="2"/>
      <c r="V660" s="2"/>
      <c r="W660" s="2"/>
    </row>
    <row r="661" spans="1:23">
      <c r="A661" s="13">
        <v>65.900000000000006</v>
      </c>
      <c r="B661" s="13">
        <f t="shared" si="0"/>
        <v>0</v>
      </c>
      <c r="C661" s="13" t="str">
        <f>IF(B661&gt;=$S$2, A661, "")</f>
        <v/>
      </c>
      <c r="D661" s="13" t="str">
        <f>IF(AND(B661=1, B661&gt;=$S$2), A661, "")</f>
        <v/>
      </c>
      <c r="E661" s="13">
        <f>IF(B661&gt;=$S$2, B661, 0)</f>
        <v>0</v>
      </c>
      <c r="F661" s="13">
        <f t="shared" si="1"/>
        <v>0</v>
      </c>
      <c r="G661" s="13">
        <f t="shared" si="2"/>
        <v>0</v>
      </c>
      <c r="H661" s="13" t="str">
        <f>IF(B661&gt;=$T$2, A661, "")</f>
        <v/>
      </c>
      <c r="I661" s="14" t="e">
        <f t="shared" si="23"/>
        <v>#N/A</v>
      </c>
      <c r="J661" s="14">
        <v>0.5</v>
      </c>
      <c r="K661" s="14" t="e">
        <f t="shared" si="24"/>
        <v>#N/A</v>
      </c>
      <c r="L661" s="14">
        <v>0.4</v>
      </c>
      <c r="N661" s="4"/>
      <c r="O661" s="4"/>
      <c r="P661" s="5"/>
      <c r="Q661" s="1"/>
      <c r="R661" s="2"/>
      <c r="S661" s="2"/>
      <c r="T661" s="1"/>
      <c r="U661" s="2"/>
      <c r="V661" s="2"/>
      <c r="W661" s="2"/>
    </row>
    <row r="662" spans="1:23">
      <c r="A662" s="13">
        <v>66</v>
      </c>
      <c r="B662" s="13">
        <f t="shared" si="0"/>
        <v>0</v>
      </c>
      <c r="C662" s="13" t="str">
        <f>IF(B662&gt;=$S$2, A662, "")</f>
        <v/>
      </c>
      <c r="D662" s="13" t="str">
        <f>IF(AND(B662=1, B662&gt;=$S$2), A662, "")</f>
        <v/>
      </c>
      <c r="E662" s="13">
        <f>IF(B662&gt;=$S$2, B662, 0)</f>
        <v>0</v>
      </c>
      <c r="F662" s="13">
        <f t="shared" si="1"/>
        <v>0</v>
      </c>
      <c r="G662" s="13">
        <f t="shared" si="2"/>
        <v>0</v>
      </c>
      <c r="H662" s="13" t="str">
        <f>IF(B662&gt;=$T$2, A662, "")</f>
        <v/>
      </c>
      <c r="I662" s="14" t="e">
        <f t="shared" si="23"/>
        <v>#N/A</v>
      </c>
      <c r="J662" s="14">
        <v>0.5</v>
      </c>
      <c r="K662" s="14" t="e">
        <f t="shared" si="24"/>
        <v>#N/A</v>
      </c>
      <c r="L662" s="14">
        <v>0.4</v>
      </c>
      <c r="N662" s="4"/>
      <c r="O662" s="4"/>
      <c r="P662" s="5"/>
      <c r="Q662" s="1"/>
      <c r="R662" s="2"/>
      <c r="S662" s="2"/>
      <c r="T662" s="1"/>
      <c r="U662" s="2"/>
      <c r="V662" s="2"/>
      <c r="W662" s="2"/>
    </row>
    <row r="663" spans="1:23">
      <c r="A663" s="13">
        <v>66.099999999999994</v>
      </c>
      <c r="B663" s="13">
        <f t="shared" si="0"/>
        <v>0</v>
      </c>
      <c r="C663" s="13" t="str">
        <f>IF(B663&gt;=$S$2, A663, "")</f>
        <v/>
      </c>
      <c r="D663" s="13" t="str">
        <f>IF(AND(B663=1, B663&gt;=$S$2), A663, "")</f>
        <v/>
      </c>
      <c r="E663" s="13">
        <f>IF(B663&gt;=$S$2, B663, 0)</f>
        <v>0</v>
      </c>
      <c r="F663" s="13">
        <f t="shared" si="1"/>
        <v>0</v>
      </c>
      <c r="G663" s="13">
        <f t="shared" si="2"/>
        <v>0</v>
      </c>
      <c r="H663" s="13" t="str">
        <f>IF(B663&gt;=$T$2, A663, "")</f>
        <v/>
      </c>
      <c r="I663" s="14" t="e">
        <f t="shared" si="23"/>
        <v>#N/A</v>
      </c>
      <c r="J663" s="14">
        <v>0.5</v>
      </c>
      <c r="K663" s="14" t="e">
        <f t="shared" si="24"/>
        <v>#N/A</v>
      </c>
      <c r="L663" s="14">
        <v>0.4</v>
      </c>
      <c r="N663" s="4"/>
      <c r="O663" s="4"/>
      <c r="P663" s="5"/>
      <c r="Q663" s="1"/>
      <c r="R663" s="2"/>
      <c r="S663" s="2"/>
      <c r="T663" s="1"/>
      <c r="U663" s="2"/>
      <c r="V663" s="2"/>
      <c r="W663" s="2"/>
    </row>
    <row r="664" spans="1:23">
      <c r="A664" s="13">
        <v>66.2</v>
      </c>
      <c r="B664" s="13">
        <f t="shared" si="0"/>
        <v>0</v>
      </c>
      <c r="C664" s="13" t="str">
        <f>IF(B664&gt;=$S$2, A664, "")</f>
        <v/>
      </c>
      <c r="D664" s="13" t="str">
        <f>IF(AND(B664=1, B664&gt;=$S$2), A664, "")</f>
        <v/>
      </c>
      <c r="E664" s="13">
        <f>IF(B664&gt;=$S$2, B664, 0)</f>
        <v>0</v>
      </c>
      <c r="F664" s="13">
        <f t="shared" si="1"/>
        <v>0</v>
      </c>
      <c r="G664" s="13">
        <f t="shared" si="2"/>
        <v>0</v>
      </c>
      <c r="H664" s="13" t="str">
        <f>IF(B664&gt;=$T$2, A664, "")</f>
        <v/>
      </c>
      <c r="I664" s="14" t="e">
        <f t="shared" si="23"/>
        <v>#N/A</v>
      </c>
      <c r="J664" s="14">
        <v>0.5</v>
      </c>
      <c r="K664" s="14" t="e">
        <f t="shared" si="24"/>
        <v>#N/A</v>
      </c>
      <c r="L664" s="14">
        <v>0.4</v>
      </c>
      <c r="N664" s="4"/>
      <c r="O664" s="4"/>
      <c r="P664" s="5"/>
      <c r="Q664" s="1"/>
      <c r="R664" s="2"/>
      <c r="S664" s="2"/>
      <c r="T664" s="1"/>
      <c r="U664" s="2"/>
      <c r="V664" s="2"/>
      <c r="W664" s="2"/>
    </row>
    <row r="665" spans="1:23">
      <c r="A665" s="13">
        <v>66.3</v>
      </c>
      <c r="B665" s="13">
        <f t="shared" si="0"/>
        <v>0</v>
      </c>
      <c r="C665" s="13" t="str">
        <f>IF(B665&gt;=$S$2, A665, "")</f>
        <v/>
      </c>
      <c r="D665" s="13" t="str">
        <f>IF(AND(B665=1, B665&gt;=$S$2), A665, "")</f>
        <v/>
      </c>
      <c r="E665" s="13">
        <f>IF(B665&gt;=$S$2, B665, 0)</f>
        <v>0</v>
      </c>
      <c r="F665" s="13">
        <f t="shared" si="1"/>
        <v>0</v>
      </c>
      <c r="G665" s="13">
        <f t="shared" si="2"/>
        <v>0</v>
      </c>
      <c r="H665" s="13" t="str">
        <f>IF(B665&gt;=$T$2, A665, "")</f>
        <v/>
      </c>
      <c r="I665" s="14" t="e">
        <f t="shared" si="23"/>
        <v>#N/A</v>
      </c>
      <c r="J665" s="14">
        <v>0.5</v>
      </c>
      <c r="K665" s="14" t="e">
        <f t="shared" si="24"/>
        <v>#N/A</v>
      </c>
      <c r="L665" s="14">
        <v>0.4</v>
      </c>
      <c r="N665" s="4"/>
      <c r="O665" s="4"/>
      <c r="P665" s="5"/>
      <c r="Q665" s="1"/>
      <c r="R665" s="2"/>
      <c r="S665" s="2"/>
      <c r="T665" s="1"/>
      <c r="U665" s="2"/>
      <c r="V665" s="2"/>
      <c r="W665" s="2"/>
    </row>
    <row r="666" spans="1:23">
      <c r="A666" s="13">
        <v>66.400000000000006</v>
      </c>
      <c r="B666" s="13">
        <f t="shared" si="0"/>
        <v>0</v>
      </c>
      <c r="C666" s="13" t="str">
        <f>IF(B666&gt;=$S$2, A666, "")</f>
        <v/>
      </c>
      <c r="D666" s="13" t="str">
        <f>IF(AND(B666=1, B666&gt;=$S$2), A666, "")</f>
        <v/>
      </c>
      <c r="E666" s="13">
        <f>IF(B666&gt;=$S$2, B666, 0)</f>
        <v>0</v>
      </c>
      <c r="F666" s="13">
        <f t="shared" si="1"/>
        <v>0</v>
      </c>
      <c r="G666" s="13">
        <f t="shared" si="2"/>
        <v>0</v>
      </c>
      <c r="H666" s="13" t="str">
        <f>IF(B666&gt;=$T$2, A666, "")</f>
        <v/>
      </c>
      <c r="I666" s="14" t="e">
        <f t="shared" si="23"/>
        <v>#N/A</v>
      </c>
      <c r="J666" s="14">
        <v>0.5</v>
      </c>
      <c r="K666" s="14" t="e">
        <f t="shared" si="24"/>
        <v>#N/A</v>
      </c>
      <c r="L666" s="14">
        <v>0.4</v>
      </c>
      <c r="N666" s="4"/>
      <c r="O666" s="4"/>
      <c r="P666" s="5"/>
      <c r="Q666" s="1"/>
      <c r="R666" s="2"/>
      <c r="S666" s="2"/>
      <c r="T666" s="1"/>
      <c r="U666" s="2"/>
      <c r="V666" s="2"/>
      <c r="W666" s="2"/>
    </row>
    <row r="667" spans="1:23">
      <c r="A667" s="13">
        <v>66.5</v>
      </c>
      <c r="B667" s="13">
        <f t="shared" si="0"/>
        <v>0</v>
      </c>
      <c r="C667" s="13" t="str">
        <f>IF(B667&gt;=$S$2, A667, "")</f>
        <v/>
      </c>
      <c r="D667" s="13" t="str">
        <f>IF(AND(B667=1, B667&gt;=$S$2), A667, "")</f>
        <v/>
      </c>
      <c r="E667" s="13">
        <f>IF(B667&gt;=$S$2, B667, 0)</f>
        <v>0</v>
      </c>
      <c r="F667" s="13">
        <f t="shared" si="1"/>
        <v>0</v>
      </c>
      <c r="G667" s="13">
        <f t="shared" si="2"/>
        <v>0</v>
      </c>
      <c r="H667" s="13" t="str">
        <f>IF(B667&gt;=$T$2, A667, "")</f>
        <v/>
      </c>
      <c r="I667" s="14" t="e">
        <f t="shared" si="23"/>
        <v>#N/A</v>
      </c>
      <c r="J667" s="14">
        <v>0.5</v>
      </c>
      <c r="K667" s="14" t="e">
        <f t="shared" si="24"/>
        <v>#N/A</v>
      </c>
      <c r="L667" s="14">
        <v>0.4</v>
      </c>
      <c r="N667" s="4"/>
      <c r="O667" s="4"/>
      <c r="P667" s="5"/>
      <c r="Q667" s="1"/>
      <c r="R667" s="2"/>
      <c r="S667" s="2"/>
      <c r="T667" s="1"/>
      <c r="U667" s="2"/>
      <c r="V667" s="2"/>
      <c r="W667" s="2"/>
    </row>
    <row r="668" spans="1:23">
      <c r="A668" s="13">
        <v>66.599999999999994</v>
      </c>
      <c r="B668" s="13">
        <f t="shared" si="0"/>
        <v>0</v>
      </c>
      <c r="C668" s="13" t="str">
        <f>IF(B668&gt;=$S$2, A668, "")</f>
        <v/>
      </c>
      <c r="D668" s="13" t="str">
        <f>IF(AND(B668=1, B668&gt;=$S$2), A668, "")</f>
        <v/>
      </c>
      <c r="E668" s="13">
        <f>IF(B668&gt;=$S$2, B668, 0)</f>
        <v>0</v>
      </c>
      <c r="F668" s="13">
        <f t="shared" si="1"/>
        <v>0</v>
      </c>
      <c r="G668" s="13">
        <f t="shared" si="2"/>
        <v>0</v>
      </c>
      <c r="H668" s="13" t="str">
        <f>IF(B668&gt;=$T$2, A668, "")</f>
        <v/>
      </c>
      <c r="I668" s="14" t="e">
        <f t="shared" si="23"/>
        <v>#N/A</v>
      </c>
      <c r="J668" s="14">
        <v>0.5</v>
      </c>
      <c r="K668" s="14" t="e">
        <f t="shared" si="24"/>
        <v>#N/A</v>
      </c>
      <c r="L668" s="14">
        <v>0.4</v>
      </c>
      <c r="N668" s="4"/>
      <c r="O668" s="4"/>
      <c r="P668" s="5"/>
      <c r="Q668" s="1"/>
      <c r="R668" s="2"/>
      <c r="S668" s="2"/>
      <c r="T668" s="1"/>
      <c r="U668" s="2"/>
      <c r="V668" s="2"/>
      <c r="W668" s="2"/>
    </row>
    <row r="669" spans="1:23">
      <c r="A669" s="13">
        <v>66.7</v>
      </c>
      <c r="B669" s="13">
        <f t="shared" si="0"/>
        <v>0</v>
      </c>
      <c r="C669" s="13" t="str">
        <f>IF(B669&gt;=$S$2, A669, "")</f>
        <v/>
      </c>
      <c r="D669" s="13" t="str">
        <f>IF(AND(B669=1, B669&gt;=$S$2), A669, "")</f>
        <v/>
      </c>
      <c r="E669" s="13">
        <f>IF(B669&gt;=$S$2, B669, 0)</f>
        <v>0</v>
      </c>
      <c r="F669" s="13">
        <f t="shared" si="1"/>
        <v>0</v>
      </c>
      <c r="G669" s="13">
        <f t="shared" si="2"/>
        <v>0</v>
      </c>
      <c r="H669" s="13" t="str">
        <f>IF(B669&gt;=$T$2, A669, "")</f>
        <v/>
      </c>
      <c r="I669" s="14" t="e">
        <f t="shared" si="23"/>
        <v>#N/A</v>
      </c>
      <c r="J669" s="14">
        <v>0.5</v>
      </c>
      <c r="K669" s="14" t="e">
        <f t="shared" si="24"/>
        <v>#N/A</v>
      </c>
      <c r="L669" s="14">
        <v>0.4</v>
      </c>
      <c r="N669" s="4"/>
      <c r="O669" s="4"/>
      <c r="P669" s="5"/>
      <c r="Q669" s="1"/>
      <c r="R669" s="2"/>
      <c r="S669" s="2"/>
      <c r="T669" s="1"/>
      <c r="U669" s="2"/>
      <c r="V669" s="2"/>
      <c r="W669" s="2"/>
    </row>
    <row r="670" spans="1:23">
      <c r="A670" s="13">
        <v>66.8</v>
      </c>
      <c r="B670" s="13">
        <f t="shared" si="0"/>
        <v>0</v>
      </c>
      <c r="C670" s="13" t="str">
        <f>IF(B670&gt;=$S$2, A670, "")</f>
        <v/>
      </c>
      <c r="D670" s="13" t="str">
        <f>IF(AND(B670=1, B670&gt;=$S$2), A670, "")</f>
        <v/>
      </c>
      <c r="E670" s="13">
        <f>IF(B670&gt;=$S$2, B670, 0)</f>
        <v>0</v>
      </c>
      <c r="F670" s="13">
        <f t="shared" si="1"/>
        <v>0</v>
      </c>
      <c r="G670" s="13">
        <f t="shared" si="2"/>
        <v>0</v>
      </c>
      <c r="H670" s="13" t="str">
        <f>IF(B670&gt;=$T$2, A670, "")</f>
        <v/>
      </c>
      <c r="I670" s="14" t="e">
        <f t="shared" si="23"/>
        <v>#N/A</v>
      </c>
      <c r="J670" s="14">
        <v>0.5</v>
      </c>
      <c r="K670" s="14" t="e">
        <f t="shared" si="24"/>
        <v>#N/A</v>
      </c>
      <c r="L670" s="14">
        <v>0.4</v>
      </c>
      <c r="N670" s="4"/>
      <c r="O670" s="4"/>
      <c r="P670" s="5"/>
      <c r="Q670" s="1"/>
      <c r="R670" s="2"/>
      <c r="S670" s="2"/>
      <c r="T670" s="1"/>
      <c r="U670" s="2"/>
      <c r="V670" s="2"/>
      <c r="W670" s="2"/>
    </row>
    <row r="671" spans="1:23">
      <c r="A671" s="13">
        <v>66.900000000000006</v>
      </c>
      <c r="B671" s="13">
        <f t="shared" si="0"/>
        <v>0</v>
      </c>
      <c r="C671" s="13" t="str">
        <f>IF(B671&gt;=$S$2, A671, "")</f>
        <v/>
      </c>
      <c r="D671" s="13" t="str">
        <f>IF(AND(B671=1, B671&gt;=$S$2), A671, "")</f>
        <v/>
      </c>
      <c r="E671" s="13">
        <f>IF(B671&gt;=$S$2, B671, 0)</f>
        <v>0</v>
      </c>
      <c r="F671" s="13">
        <f t="shared" si="1"/>
        <v>0</v>
      </c>
      <c r="G671" s="13">
        <f t="shared" si="2"/>
        <v>0</v>
      </c>
      <c r="H671" s="13" t="str">
        <f>IF(B671&gt;=$T$2, A671, "")</f>
        <v/>
      </c>
      <c r="I671" s="14" t="e">
        <f t="shared" si="23"/>
        <v>#N/A</v>
      </c>
      <c r="J671" s="14">
        <v>0.5</v>
      </c>
      <c r="K671" s="14" t="e">
        <f t="shared" si="24"/>
        <v>#N/A</v>
      </c>
      <c r="L671" s="14">
        <v>0.4</v>
      </c>
      <c r="N671" s="4"/>
      <c r="O671" s="4"/>
      <c r="P671" s="5"/>
      <c r="Q671" s="1"/>
      <c r="R671" s="2"/>
      <c r="S671" s="2"/>
      <c r="T671" s="1"/>
      <c r="U671" s="2"/>
      <c r="V671" s="2"/>
      <c r="W671" s="2"/>
    </row>
    <row r="672" spans="1:23">
      <c r="A672" s="13">
        <v>67</v>
      </c>
      <c r="B672" s="13">
        <f t="shared" si="0"/>
        <v>0</v>
      </c>
      <c r="C672" s="13" t="str">
        <f>IF(B672&gt;=$S$2, A672, "")</f>
        <v/>
      </c>
      <c r="D672" s="13" t="str">
        <f>IF(AND(B672=1, B672&gt;=$S$2), A672, "")</f>
        <v/>
      </c>
      <c r="E672" s="13">
        <f>IF(B672&gt;=$S$2, B672, 0)</f>
        <v>0</v>
      </c>
      <c r="F672" s="13">
        <f t="shared" si="1"/>
        <v>0</v>
      </c>
      <c r="G672" s="13">
        <f t="shared" si="2"/>
        <v>0</v>
      </c>
      <c r="H672" s="13" t="str">
        <f>IF(B672&gt;=$T$2, A672, "")</f>
        <v/>
      </c>
      <c r="I672" s="14" t="e">
        <f t="shared" si="23"/>
        <v>#N/A</v>
      </c>
      <c r="J672" s="14">
        <v>0.5</v>
      </c>
      <c r="K672" s="14" t="e">
        <f t="shared" si="24"/>
        <v>#N/A</v>
      </c>
      <c r="L672" s="14">
        <v>0.4</v>
      </c>
      <c r="N672" s="4"/>
      <c r="O672" s="4"/>
      <c r="P672" s="5"/>
      <c r="Q672" s="1"/>
      <c r="R672" s="2"/>
      <c r="S672" s="2"/>
      <c r="T672" s="1"/>
      <c r="U672" s="2"/>
      <c r="V672" s="2"/>
      <c r="W672" s="2"/>
    </row>
    <row r="673" spans="1:23">
      <c r="A673" s="13">
        <v>67.099999999999994</v>
      </c>
      <c r="B673" s="13">
        <f t="shared" si="0"/>
        <v>0</v>
      </c>
      <c r="C673" s="13" t="str">
        <f>IF(B673&gt;=$S$2, A673, "")</f>
        <v/>
      </c>
      <c r="D673" s="13" t="str">
        <f>IF(AND(B673=1, B673&gt;=$S$2), A673, "")</f>
        <v/>
      </c>
      <c r="E673" s="13">
        <f>IF(B673&gt;=$S$2, B673, 0)</f>
        <v>0</v>
      </c>
      <c r="F673" s="13">
        <f t="shared" si="1"/>
        <v>0</v>
      </c>
      <c r="G673" s="13">
        <f t="shared" si="2"/>
        <v>0</v>
      </c>
      <c r="H673" s="13" t="str">
        <f>IF(B673&gt;=$T$2, A673, "")</f>
        <v/>
      </c>
      <c r="I673" s="14" t="e">
        <f t="shared" si="23"/>
        <v>#N/A</v>
      </c>
      <c r="J673" s="14">
        <v>0.5</v>
      </c>
      <c r="K673" s="14" t="e">
        <f t="shared" si="24"/>
        <v>#N/A</v>
      </c>
      <c r="L673" s="14">
        <v>0.4</v>
      </c>
      <c r="N673" s="4"/>
      <c r="O673" s="4"/>
      <c r="P673" s="5"/>
      <c r="Q673" s="1"/>
      <c r="R673" s="2"/>
      <c r="S673" s="2"/>
      <c r="T673" s="1"/>
      <c r="U673" s="2"/>
      <c r="V673" s="2"/>
      <c r="W673" s="2"/>
    </row>
    <row r="674" spans="1:23">
      <c r="A674" s="13">
        <v>67.2</v>
      </c>
      <c r="B674" s="13">
        <f t="shared" si="0"/>
        <v>0</v>
      </c>
      <c r="C674" s="13" t="str">
        <f>IF(B674&gt;=$S$2, A674, "")</f>
        <v/>
      </c>
      <c r="D674" s="13" t="str">
        <f>IF(AND(B674=1, B674&gt;=$S$2), A674, "")</f>
        <v/>
      </c>
      <c r="E674" s="13">
        <f>IF(B674&gt;=$S$2, B674, 0)</f>
        <v>0</v>
      </c>
      <c r="F674" s="13">
        <f t="shared" si="1"/>
        <v>0</v>
      </c>
      <c r="G674" s="13">
        <f t="shared" si="2"/>
        <v>0</v>
      </c>
      <c r="H674" s="13" t="str">
        <f>IF(B674&gt;=$T$2, A674, "")</f>
        <v/>
      </c>
      <c r="I674" s="14" t="e">
        <f t="shared" si="23"/>
        <v>#N/A</v>
      </c>
      <c r="J674" s="14">
        <v>0.5</v>
      </c>
      <c r="K674" s="14" t="e">
        <f t="shared" si="24"/>
        <v>#N/A</v>
      </c>
      <c r="L674" s="14">
        <v>0.4</v>
      </c>
      <c r="N674" s="4"/>
      <c r="O674" s="4"/>
      <c r="P674" s="5"/>
      <c r="Q674" s="1"/>
      <c r="R674" s="2"/>
      <c r="S674" s="2"/>
      <c r="T674" s="1"/>
      <c r="U674" s="2"/>
      <c r="V674" s="2"/>
      <c r="W674" s="2"/>
    </row>
    <row r="675" spans="1:23">
      <c r="A675" s="13">
        <v>67.3</v>
      </c>
      <c r="B675" s="13">
        <f t="shared" si="0"/>
        <v>0</v>
      </c>
      <c r="C675" s="13" t="str">
        <f>IF(B675&gt;=$S$2, A675, "")</f>
        <v/>
      </c>
      <c r="D675" s="13" t="str">
        <f>IF(AND(B675=1, B675&gt;=$S$2), A675, "")</f>
        <v/>
      </c>
      <c r="E675" s="13">
        <f>IF(B675&gt;=$S$2, B675, 0)</f>
        <v>0</v>
      </c>
      <c r="F675" s="13">
        <f t="shared" si="1"/>
        <v>0</v>
      </c>
      <c r="G675" s="13">
        <f t="shared" si="2"/>
        <v>0</v>
      </c>
      <c r="H675" s="13" t="str">
        <f>IF(B675&gt;=$T$2, A675, "")</f>
        <v/>
      </c>
      <c r="I675" s="14" t="e">
        <f t="shared" si="23"/>
        <v>#N/A</v>
      </c>
      <c r="J675" s="14">
        <v>0.5</v>
      </c>
      <c r="K675" s="14" t="e">
        <f t="shared" si="24"/>
        <v>#N/A</v>
      </c>
      <c r="L675" s="14">
        <v>0.4</v>
      </c>
      <c r="N675" s="4"/>
      <c r="O675" s="4"/>
      <c r="P675" s="5"/>
      <c r="Q675" s="1"/>
      <c r="R675" s="2"/>
      <c r="S675" s="2"/>
      <c r="T675" s="1"/>
      <c r="U675" s="2"/>
      <c r="V675" s="2"/>
      <c r="W675" s="2"/>
    </row>
    <row r="676" spans="1:23">
      <c r="A676" s="13">
        <v>67.400000000000006</v>
      </c>
      <c r="B676" s="13">
        <f t="shared" si="0"/>
        <v>0</v>
      </c>
      <c r="C676" s="13" t="str">
        <f>IF(B676&gt;=$S$2, A676, "")</f>
        <v/>
      </c>
      <c r="D676" s="13" t="str">
        <f>IF(AND(B676=1, B676&gt;=$S$2), A676, "")</f>
        <v/>
      </c>
      <c r="E676" s="13">
        <f>IF(B676&gt;=$S$2, B676, 0)</f>
        <v>0</v>
      </c>
      <c r="F676" s="13">
        <f t="shared" si="1"/>
        <v>0</v>
      </c>
      <c r="G676" s="13">
        <f t="shared" si="2"/>
        <v>0</v>
      </c>
      <c r="H676" s="13" t="str">
        <f>IF(B676&gt;=$T$2, A676, "")</f>
        <v/>
      </c>
      <c r="I676" s="14" t="e">
        <f t="shared" si="23"/>
        <v>#N/A</v>
      </c>
      <c r="J676" s="14">
        <v>0.5</v>
      </c>
      <c r="K676" s="14" t="e">
        <f t="shared" si="24"/>
        <v>#N/A</v>
      </c>
      <c r="L676" s="14">
        <v>0.4</v>
      </c>
      <c r="N676" s="4"/>
      <c r="O676" s="4"/>
      <c r="P676" s="5"/>
      <c r="Q676" s="1"/>
      <c r="R676" s="2"/>
      <c r="S676" s="2"/>
      <c r="T676" s="1"/>
      <c r="U676" s="2"/>
      <c r="V676" s="2"/>
      <c r="W676" s="2"/>
    </row>
    <row r="677" spans="1:23">
      <c r="A677" s="13">
        <v>67.5</v>
      </c>
      <c r="B677" s="13">
        <f t="shared" si="0"/>
        <v>0</v>
      </c>
      <c r="C677" s="13" t="str">
        <f>IF(B677&gt;=$S$2, A677, "")</f>
        <v/>
      </c>
      <c r="D677" s="13" t="str">
        <f>IF(AND(B677=1, B677&gt;=$S$2), A677, "")</f>
        <v/>
      </c>
      <c r="E677" s="13">
        <f>IF(B677&gt;=$S$2, B677, 0)</f>
        <v>0</v>
      </c>
      <c r="F677" s="13">
        <f t="shared" si="1"/>
        <v>0</v>
      </c>
      <c r="G677" s="13">
        <f t="shared" si="2"/>
        <v>0</v>
      </c>
      <c r="H677" s="13" t="str">
        <f>IF(B677&gt;=$T$2, A677, "")</f>
        <v/>
      </c>
      <c r="I677" s="14" t="e">
        <f t="shared" si="23"/>
        <v>#N/A</v>
      </c>
      <c r="J677" s="14">
        <v>0.5</v>
      </c>
      <c r="K677" s="14" t="e">
        <f t="shared" si="24"/>
        <v>#N/A</v>
      </c>
      <c r="L677" s="14">
        <v>0.4</v>
      </c>
      <c r="N677" s="4"/>
      <c r="O677" s="4"/>
      <c r="P677" s="5"/>
      <c r="Q677" s="1"/>
      <c r="R677" s="2"/>
      <c r="S677" s="2"/>
      <c r="T677" s="1"/>
      <c r="U677" s="2"/>
      <c r="V677" s="2"/>
      <c r="W677" s="2"/>
    </row>
    <row r="678" spans="1:23">
      <c r="A678" s="13">
        <v>67.599999999999994</v>
      </c>
      <c r="B678" s="13">
        <f t="shared" si="0"/>
        <v>0</v>
      </c>
      <c r="C678" s="13" t="str">
        <f>IF(B678&gt;=$S$2, A678, "")</f>
        <v/>
      </c>
      <c r="D678" s="13" t="str">
        <f>IF(AND(B678=1, B678&gt;=$S$2), A678, "")</f>
        <v/>
      </c>
      <c r="E678" s="13">
        <f>IF(B678&gt;=$S$2, B678, 0)</f>
        <v>0</v>
      </c>
      <c r="F678" s="13">
        <f t="shared" si="1"/>
        <v>0</v>
      </c>
      <c r="G678" s="13">
        <f t="shared" si="2"/>
        <v>0</v>
      </c>
      <c r="H678" s="13" t="str">
        <f>IF(B678&gt;=$T$2, A678, "")</f>
        <v/>
      </c>
      <c r="I678" s="14" t="e">
        <f t="shared" si="23"/>
        <v>#N/A</v>
      </c>
      <c r="J678" s="14">
        <v>0.5</v>
      </c>
      <c r="K678" s="14" t="e">
        <f t="shared" si="24"/>
        <v>#N/A</v>
      </c>
      <c r="L678" s="14">
        <v>0.4</v>
      </c>
      <c r="N678" s="4"/>
      <c r="O678" s="4"/>
      <c r="P678" s="5"/>
      <c r="Q678" s="1"/>
      <c r="R678" s="2"/>
      <c r="S678" s="2"/>
      <c r="T678" s="1"/>
      <c r="U678" s="2"/>
      <c r="V678" s="2"/>
      <c r="W678" s="2"/>
    </row>
    <row r="679" spans="1:23">
      <c r="A679" s="13">
        <v>67.7</v>
      </c>
      <c r="B679" s="13">
        <f t="shared" si="0"/>
        <v>0</v>
      </c>
      <c r="C679" s="13" t="str">
        <f>IF(B679&gt;=$S$2, A679, "")</f>
        <v/>
      </c>
      <c r="D679" s="13" t="str">
        <f>IF(AND(B679=1, B679&gt;=$S$2), A679, "")</f>
        <v/>
      </c>
      <c r="E679" s="13">
        <f>IF(B679&gt;=$S$2, B679, 0)</f>
        <v>0</v>
      </c>
      <c r="F679" s="13">
        <f t="shared" si="1"/>
        <v>0</v>
      </c>
      <c r="G679" s="13">
        <f t="shared" si="2"/>
        <v>0</v>
      </c>
      <c r="H679" s="13" t="str">
        <f>IF(B679&gt;=$T$2, A679, "")</f>
        <v/>
      </c>
      <c r="I679" s="14" t="e">
        <f t="shared" si="23"/>
        <v>#N/A</v>
      </c>
      <c r="J679" s="14">
        <v>0.5</v>
      </c>
      <c r="K679" s="14" t="e">
        <f t="shared" si="24"/>
        <v>#N/A</v>
      </c>
      <c r="L679" s="14">
        <v>0.4</v>
      </c>
      <c r="N679" s="4"/>
      <c r="O679" s="4"/>
      <c r="P679" s="5"/>
      <c r="Q679" s="1"/>
      <c r="R679" s="2"/>
      <c r="S679" s="2"/>
      <c r="T679" s="1"/>
      <c r="U679" s="2"/>
      <c r="V679" s="2"/>
      <c r="W679" s="2"/>
    </row>
    <row r="680" spans="1:23">
      <c r="A680" s="13">
        <v>67.8</v>
      </c>
      <c r="B680" s="13">
        <f t="shared" si="0"/>
        <v>0</v>
      </c>
      <c r="C680" s="13" t="str">
        <f>IF(B680&gt;=$S$2, A680, "")</f>
        <v/>
      </c>
      <c r="D680" s="13" t="str">
        <f>IF(AND(B680=1, B680&gt;=$S$2), A680, "")</f>
        <v/>
      </c>
      <c r="E680" s="13">
        <f>IF(B680&gt;=$S$2, B680, 0)</f>
        <v>0</v>
      </c>
      <c r="F680" s="13">
        <f t="shared" si="1"/>
        <v>0</v>
      </c>
      <c r="G680" s="13">
        <f t="shared" si="2"/>
        <v>0</v>
      </c>
      <c r="H680" s="13" t="str">
        <f>IF(B680&gt;=$T$2, A680, "")</f>
        <v/>
      </c>
      <c r="I680" s="14" t="e">
        <f t="shared" si="23"/>
        <v>#N/A</v>
      </c>
      <c r="J680" s="14">
        <v>0.5</v>
      </c>
      <c r="K680" s="14" t="e">
        <f t="shared" si="24"/>
        <v>#N/A</v>
      </c>
      <c r="L680" s="14">
        <v>0.4</v>
      </c>
      <c r="N680" s="4"/>
      <c r="O680" s="4"/>
      <c r="P680" s="5"/>
      <c r="Q680" s="1"/>
      <c r="R680" s="2"/>
      <c r="S680" s="2"/>
      <c r="T680" s="1"/>
      <c r="U680" s="2"/>
      <c r="V680" s="2"/>
      <c r="W680" s="2"/>
    </row>
    <row r="681" spans="1:23">
      <c r="A681" s="13">
        <v>67.900000000000006</v>
      </c>
      <c r="B681" s="13">
        <f t="shared" si="0"/>
        <v>0</v>
      </c>
      <c r="C681" s="13" t="str">
        <f>IF(B681&gt;=$S$2, A681, "")</f>
        <v/>
      </c>
      <c r="D681" s="13" t="str">
        <f>IF(AND(B681=1, B681&gt;=$S$2), A681, "")</f>
        <v/>
      </c>
      <c r="E681" s="13">
        <f>IF(B681&gt;=$S$2, B681, 0)</f>
        <v>0</v>
      </c>
      <c r="F681" s="13">
        <f t="shared" si="1"/>
        <v>0</v>
      </c>
      <c r="G681" s="13">
        <f t="shared" si="2"/>
        <v>0</v>
      </c>
      <c r="H681" s="13" t="str">
        <f>IF(B681&gt;=$T$2, A681, "")</f>
        <v/>
      </c>
      <c r="I681" s="14" t="e">
        <f t="shared" si="23"/>
        <v>#N/A</v>
      </c>
      <c r="J681" s="14">
        <v>0.5</v>
      </c>
      <c r="K681" s="14" t="e">
        <f t="shared" si="24"/>
        <v>#N/A</v>
      </c>
      <c r="L681" s="14">
        <v>0.4</v>
      </c>
      <c r="N681" s="4"/>
      <c r="O681" s="4"/>
      <c r="P681" s="5"/>
      <c r="Q681" s="1"/>
      <c r="R681" s="2"/>
      <c r="S681" s="2"/>
      <c r="T681" s="1"/>
      <c r="U681" s="2"/>
      <c r="V681" s="2"/>
      <c r="W681" s="2"/>
    </row>
    <row r="682" spans="1:23">
      <c r="A682" s="13">
        <v>68</v>
      </c>
      <c r="B682" s="13">
        <f t="shared" si="0"/>
        <v>0</v>
      </c>
      <c r="C682" s="13" t="str">
        <f>IF(B682&gt;=$S$2, A682, "")</f>
        <v/>
      </c>
      <c r="D682" s="13" t="str">
        <f>IF(AND(B682=1, B682&gt;=$S$2), A682, "")</f>
        <v/>
      </c>
      <c r="E682" s="13">
        <f>IF(B682&gt;=$S$2, B682, 0)</f>
        <v>0</v>
      </c>
      <c r="F682" s="13">
        <f t="shared" si="1"/>
        <v>0</v>
      </c>
      <c r="G682" s="13">
        <f t="shared" si="2"/>
        <v>0</v>
      </c>
      <c r="H682" s="13" t="str">
        <f>IF(B682&gt;=$T$2, A682, "")</f>
        <v/>
      </c>
      <c r="I682" s="14" t="e">
        <f t="shared" si="23"/>
        <v>#N/A</v>
      </c>
      <c r="J682" s="14">
        <v>0.5</v>
      </c>
      <c r="K682" s="14" t="e">
        <f t="shared" si="24"/>
        <v>#N/A</v>
      </c>
      <c r="L682" s="14">
        <v>0.4</v>
      </c>
      <c r="N682" s="4"/>
      <c r="O682" s="4"/>
      <c r="P682" s="5"/>
      <c r="Q682" s="1"/>
      <c r="R682" s="2"/>
      <c r="S682" s="2"/>
      <c r="T682" s="1"/>
      <c r="U682" s="2"/>
      <c r="V682" s="2"/>
      <c r="W682" s="2"/>
    </row>
    <row r="683" spans="1:23">
      <c r="A683" s="13">
        <v>68.099999999999994</v>
      </c>
      <c r="B683" s="13">
        <f t="shared" si="0"/>
        <v>0</v>
      </c>
      <c r="C683" s="13" t="str">
        <f>IF(B683&gt;=$S$2, A683, "")</f>
        <v/>
      </c>
      <c r="D683" s="13" t="str">
        <f>IF(AND(B683=1, B683&gt;=$S$2), A683, "")</f>
        <v/>
      </c>
      <c r="E683" s="13">
        <f>IF(B683&gt;=$S$2, B683, 0)</f>
        <v>0</v>
      </c>
      <c r="F683" s="13">
        <f t="shared" si="1"/>
        <v>0</v>
      </c>
      <c r="G683" s="13">
        <f t="shared" si="2"/>
        <v>0</v>
      </c>
      <c r="H683" s="13" t="str">
        <f>IF(B683&gt;=$T$2, A683, "")</f>
        <v/>
      </c>
      <c r="I683" s="14" t="e">
        <f t="shared" si="23"/>
        <v>#N/A</v>
      </c>
      <c r="J683" s="14">
        <v>0.5</v>
      </c>
      <c r="K683" s="14" t="e">
        <f t="shared" si="24"/>
        <v>#N/A</v>
      </c>
      <c r="L683" s="14">
        <v>0.4</v>
      </c>
      <c r="N683" s="4"/>
      <c r="O683" s="4"/>
      <c r="P683" s="5"/>
      <c r="Q683" s="1"/>
      <c r="R683" s="2"/>
      <c r="S683" s="2"/>
      <c r="T683" s="1"/>
      <c r="U683" s="2"/>
      <c r="V683" s="2"/>
      <c r="W683" s="2"/>
    </row>
    <row r="684" spans="1:23">
      <c r="A684" s="13">
        <v>68.2</v>
      </c>
      <c r="B684" s="13">
        <f t="shared" si="0"/>
        <v>0</v>
      </c>
      <c r="C684" s="13" t="str">
        <f>IF(B684&gt;=$S$2, A684, "")</f>
        <v/>
      </c>
      <c r="D684" s="13" t="str">
        <f>IF(AND(B684=1, B684&gt;=$S$2), A684, "")</f>
        <v/>
      </c>
      <c r="E684" s="13">
        <f>IF(B684&gt;=$S$2, B684, 0)</f>
        <v>0</v>
      </c>
      <c r="F684" s="13">
        <f t="shared" si="1"/>
        <v>0</v>
      </c>
      <c r="G684" s="13">
        <f t="shared" si="2"/>
        <v>0</v>
      </c>
      <c r="H684" s="13" t="str">
        <f>IF(B684&gt;=$T$2, A684, "")</f>
        <v/>
      </c>
      <c r="I684" s="14" t="e">
        <f t="shared" si="23"/>
        <v>#N/A</v>
      </c>
      <c r="J684" s="14">
        <v>0.5</v>
      </c>
      <c r="K684" s="14" t="e">
        <f t="shared" si="24"/>
        <v>#N/A</v>
      </c>
      <c r="L684" s="14">
        <v>0.4</v>
      </c>
      <c r="N684" s="4"/>
      <c r="O684" s="4"/>
      <c r="P684" s="5"/>
      <c r="Q684" s="1"/>
      <c r="R684" s="2"/>
      <c r="S684" s="2"/>
      <c r="T684" s="1"/>
      <c r="U684" s="2"/>
      <c r="V684" s="2"/>
      <c r="W684" s="2"/>
    </row>
    <row r="685" spans="1:23">
      <c r="A685" s="13">
        <v>68.3</v>
      </c>
      <c r="B685" s="13">
        <f t="shared" si="0"/>
        <v>0</v>
      </c>
      <c r="C685" s="13" t="str">
        <f>IF(B685&gt;=$S$2, A685, "")</f>
        <v/>
      </c>
      <c r="D685" s="13" t="str">
        <f>IF(AND(B685=1, B685&gt;=$S$2), A685, "")</f>
        <v/>
      </c>
      <c r="E685" s="13">
        <f>IF(B685&gt;=$S$2, B685, 0)</f>
        <v>0</v>
      </c>
      <c r="F685" s="13">
        <f t="shared" si="1"/>
        <v>0</v>
      </c>
      <c r="G685" s="13">
        <f t="shared" si="2"/>
        <v>0</v>
      </c>
      <c r="H685" s="13" t="str">
        <f>IF(B685&gt;=$T$2, A685, "")</f>
        <v/>
      </c>
      <c r="I685" s="14" t="e">
        <f t="shared" si="23"/>
        <v>#N/A</v>
      </c>
      <c r="J685" s="14">
        <v>0.5</v>
      </c>
      <c r="K685" s="14" t="e">
        <f t="shared" si="24"/>
        <v>#N/A</v>
      </c>
      <c r="L685" s="14">
        <v>0.4</v>
      </c>
      <c r="N685" s="4"/>
      <c r="O685" s="4"/>
      <c r="P685" s="5"/>
      <c r="Q685" s="1"/>
      <c r="R685" s="2"/>
      <c r="S685" s="2"/>
      <c r="T685" s="1"/>
      <c r="U685" s="2"/>
      <c r="V685" s="2"/>
      <c r="W685" s="2"/>
    </row>
    <row r="686" spans="1:23">
      <c r="A686" s="13">
        <v>68.400000000000006</v>
      </c>
      <c r="B686" s="13">
        <f t="shared" si="0"/>
        <v>0</v>
      </c>
      <c r="C686" s="13" t="str">
        <f>IF(B686&gt;=$S$2, A686, "")</f>
        <v/>
      </c>
      <c r="D686" s="13" t="str">
        <f>IF(AND(B686=1, B686&gt;=$S$2), A686, "")</f>
        <v/>
      </c>
      <c r="E686" s="13">
        <f>IF(B686&gt;=$S$2, B686, 0)</f>
        <v>0</v>
      </c>
      <c r="F686" s="13">
        <f t="shared" si="1"/>
        <v>0</v>
      </c>
      <c r="G686" s="13">
        <f t="shared" si="2"/>
        <v>0</v>
      </c>
      <c r="H686" s="13" t="str">
        <f>IF(B686&gt;=$T$2, A686, "")</f>
        <v/>
      </c>
      <c r="I686" s="14" t="e">
        <f t="shared" si="23"/>
        <v>#N/A</v>
      </c>
      <c r="J686" s="14">
        <v>0.5</v>
      </c>
      <c r="K686" s="14" t="e">
        <f t="shared" si="24"/>
        <v>#N/A</v>
      </c>
      <c r="L686" s="14">
        <v>0.4</v>
      </c>
      <c r="N686" s="4"/>
      <c r="O686" s="4"/>
      <c r="P686" s="5"/>
      <c r="Q686" s="1"/>
      <c r="R686" s="2"/>
      <c r="S686" s="2"/>
      <c r="T686" s="1"/>
      <c r="U686" s="2"/>
      <c r="V686" s="2"/>
      <c r="W686" s="2"/>
    </row>
    <row r="687" spans="1:23">
      <c r="A687" s="13">
        <v>68.5</v>
      </c>
      <c r="B687" s="13">
        <f t="shared" si="0"/>
        <v>0</v>
      </c>
      <c r="C687" s="13" t="str">
        <f>IF(B687&gt;=$S$2, A687, "")</f>
        <v/>
      </c>
      <c r="D687" s="13" t="str">
        <f>IF(AND(B687=1, B687&gt;=$S$2), A687, "")</f>
        <v/>
      </c>
      <c r="E687" s="13">
        <f>IF(B687&gt;=$S$2, B687, 0)</f>
        <v>0</v>
      </c>
      <c r="F687" s="13">
        <f t="shared" si="1"/>
        <v>0</v>
      </c>
      <c r="G687" s="13">
        <f t="shared" si="2"/>
        <v>0</v>
      </c>
      <c r="H687" s="13" t="str">
        <f>IF(B687&gt;=$T$2, A687, "")</f>
        <v/>
      </c>
      <c r="I687" s="14" t="e">
        <f t="shared" si="23"/>
        <v>#N/A</v>
      </c>
      <c r="J687" s="14">
        <v>0.5</v>
      </c>
      <c r="K687" s="14" t="e">
        <f t="shared" si="24"/>
        <v>#N/A</v>
      </c>
      <c r="L687" s="14">
        <v>0.4</v>
      </c>
      <c r="N687" s="4"/>
      <c r="O687" s="4"/>
      <c r="P687" s="5"/>
      <c r="Q687" s="1"/>
      <c r="R687" s="2"/>
      <c r="S687" s="2"/>
      <c r="T687" s="1"/>
      <c r="U687" s="2"/>
      <c r="V687" s="2"/>
      <c r="W687" s="2"/>
    </row>
    <row r="688" spans="1:23">
      <c r="A688" s="13">
        <v>68.599999999999994</v>
      </c>
      <c r="B688" s="13">
        <f t="shared" si="0"/>
        <v>0</v>
      </c>
      <c r="C688" s="13" t="str">
        <f>IF(B688&gt;=$S$2, A688, "")</f>
        <v/>
      </c>
      <c r="D688" s="13" t="str">
        <f>IF(AND(B688=1, B688&gt;=$S$2), A688, "")</f>
        <v/>
      </c>
      <c r="E688" s="13">
        <f>IF(B688&gt;=$S$2, B688, 0)</f>
        <v>0</v>
      </c>
      <c r="F688" s="13">
        <f t="shared" si="1"/>
        <v>0</v>
      </c>
      <c r="G688" s="13">
        <f t="shared" si="2"/>
        <v>0</v>
      </c>
      <c r="H688" s="13" t="str">
        <f>IF(B688&gt;=$T$2, A688, "")</f>
        <v/>
      </c>
      <c r="I688" s="14" t="e">
        <f t="shared" si="23"/>
        <v>#N/A</v>
      </c>
      <c r="J688" s="14">
        <v>0.5</v>
      </c>
      <c r="K688" s="14" t="e">
        <f t="shared" si="24"/>
        <v>#N/A</v>
      </c>
      <c r="L688" s="14">
        <v>0.4</v>
      </c>
      <c r="N688" s="4"/>
      <c r="O688" s="4"/>
      <c r="P688" s="5"/>
      <c r="Q688" s="1"/>
      <c r="R688" s="2"/>
      <c r="S688" s="2"/>
      <c r="T688" s="1"/>
      <c r="U688" s="2"/>
      <c r="V688" s="2"/>
      <c r="W688" s="2"/>
    </row>
    <row r="689" spans="1:23">
      <c r="A689" s="13">
        <v>68.7</v>
      </c>
      <c r="B689" s="13">
        <f t="shared" si="0"/>
        <v>0</v>
      </c>
      <c r="C689" s="13" t="str">
        <f>IF(B689&gt;=$S$2, A689, "")</f>
        <v/>
      </c>
      <c r="D689" s="13" t="str">
        <f>IF(AND(B689=1, B689&gt;=$S$2), A689, "")</f>
        <v/>
      </c>
      <c r="E689" s="13">
        <f>IF(B689&gt;=$S$2, B689, 0)</f>
        <v>0</v>
      </c>
      <c r="F689" s="13">
        <f t="shared" si="1"/>
        <v>0</v>
      </c>
      <c r="G689" s="13">
        <f t="shared" si="2"/>
        <v>0</v>
      </c>
      <c r="H689" s="13" t="str">
        <f>IF(B689&gt;=$T$2, A689, "")</f>
        <v/>
      </c>
      <c r="I689" s="14" t="e">
        <f t="shared" si="23"/>
        <v>#N/A</v>
      </c>
      <c r="J689" s="14">
        <v>0.5</v>
      </c>
      <c r="K689" s="14" t="e">
        <f t="shared" si="24"/>
        <v>#N/A</v>
      </c>
      <c r="L689" s="14">
        <v>0.4</v>
      </c>
      <c r="N689" s="4"/>
      <c r="O689" s="4"/>
      <c r="P689" s="5"/>
      <c r="Q689" s="1"/>
      <c r="R689" s="2"/>
      <c r="S689" s="2"/>
      <c r="T689" s="1"/>
      <c r="U689" s="2"/>
      <c r="V689" s="2"/>
      <c r="W689" s="2"/>
    </row>
    <row r="690" spans="1:23">
      <c r="A690" s="13">
        <v>68.8</v>
      </c>
      <c r="B690" s="13">
        <f t="shared" si="0"/>
        <v>0</v>
      </c>
      <c r="C690" s="13" t="str">
        <f>IF(B690&gt;=$S$2, A690, "")</f>
        <v/>
      </c>
      <c r="D690" s="13" t="str">
        <f>IF(AND(B690=1, B690&gt;=$S$2), A690, "")</f>
        <v/>
      </c>
      <c r="E690" s="13">
        <f>IF(B690&gt;=$S$2, B690, 0)</f>
        <v>0</v>
      </c>
      <c r="F690" s="13">
        <f t="shared" si="1"/>
        <v>0</v>
      </c>
      <c r="G690" s="13">
        <f t="shared" si="2"/>
        <v>0</v>
      </c>
      <c r="H690" s="13" t="str">
        <f>IF(B690&gt;=$T$2, A690, "")</f>
        <v/>
      </c>
      <c r="I690" s="14" t="e">
        <f t="shared" si="23"/>
        <v>#N/A</v>
      </c>
      <c r="J690" s="14">
        <v>0.5</v>
      </c>
      <c r="K690" s="14" t="e">
        <f t="shared" si="24"/>
        <v>#N/A</v>
      </c>
      <c r="L690" s="14">
        <v>0.4</v>
      </c>
      <c r="N690" s="4"/>
      <c r="O690" s="4"/>
      <c r="P690" s="5"/>
      <c r="Q690" s="1"/>
      <c r="R690" s="2"/>
      <c r="S690" s="2"/>
      <c r="T690" s="1"/>
      <c r="U690" s="2"/>
      <c r="V690" s="2"/>
      <c r="W690" s="2"/>
    </row>
    <row r="691" spans="1:23">
      <c r="A691" s="13">
        <v>68.900000000000006</v>
      </c>
      <c r="B691" s="13">
        <f t="shared" si="0"/>
        <v>0</v>
      </c>
      <c r="C691" s="13" t="str">
        <f>IF(B691&gt;=$S$2, A691, "")</f>
        <v/>
      </c>
      <c r="D691" s="13" t="str">
        <f>IF(AND(B691=1, B691&gt;=$S$2), A691, "")</f>
        <v/>
      </c>
      <c r="E691" s="13">
        <f>IF(B691&gt;=$S$2, B691, 0)</f>
        <v>0</v>
      </c>
      <c r="F691" s="13">
        <f t="shared" si="1"/>
        <v>0</v>
      </c>
      <c r="G691" s="13">
        <f t="shared" si="2"/>
        <v>0</v>
      </c>
      <c r="H691" s="13" t="str">
        <f>IF(B691&gt;=$T$2, A691, "")</f>
        <v/>
      </c>
      <c r="I691" s="14" t="e">
        <f t="shared" si="23"/>
        <v>#N/A</v>
      </c>
      <c r="J691" s="14">
        <v>0.5</v>
      </c>
      <c r="K691" s="14" t="e">
        <f t="shared" si="24"/>
        <v>#N/A</v>
      </c>
      <c r="L691" s="14">
        <v>0.4</v>
      </c>
      <c r="N691" s="4"/>
      <c r="O691" s="4"/>
      <c r="P691" s="5"/>
      <c r="Q691" s="1"/>
      <c r="R691" s="2"/>
      <c r="S691" s="2"/>
      <c r="T691" s="1"/>
      <c r="U691" s="2"/>
      <c r="V691" s="2"/>
      <c r="W691" s="2"/>
    </row>
    <row r="692" spans="1:23">
      <c r="A692" s="13">
        <v>69</v>
      </c>
      <c r="B692" s="13">
        <f t="shared" si="0"/>
        <v>0</v>
      </c>
      <c r="C692" s="13" t="str">
        <f>IF(B692&gt;=$S$2, A692, "")</f>
        <v/>
      </c>
      <c r="D692" s="13" t="str">
        <f>IF(AND(B692=1, B692&gt;=$S$2), A692, "")</f>
        <v/>
      </c>
      <c r="E692" s="13">
        <f>IF(B692&gt;=$S$2, B692, 0)</f>
        <v>0</v>
      </c>
      <c r="F692" s="13">
        <f t="shared" si="1"/>
        <v>0</v>
      </c>
      <c r="G692" s="13">
        <f t="shared" si="2"/>
        <v>0</v>
      </c>
      <c r="H692" s="13" t="str">
        <f>IF(B692&gt;=$T$2, A692, "")</f>
        <v/>
      </c>
      <c r="I692" s="14" t="e">
        <f t="shared" si="23"/>
        <v>#N/A</v>
      </c>
      <c r="J692" s="14">
        <v>0.5</v>
      </c>
      <c r="K692" s="14" t="e">
        <f t="shared" si="24"/>
        <v>#N/A</v>
      </c>
      <c r="L692" s="14">
        <v>0.4</v>
      </c>
      <c r="N692" s="4"/>
      <c r="O692" s="4"/>
      <c r="P692" s="5"/>
      <c r="Q692" s="1"/>
      <c r="R692" s="2"/>
      <c r="S692" s="2"/>
      <c r="T692" s="1"/>
      <c r="U692" s="2"/>
      <c r="V692" s="2"/>
      <c r="W692" s="2"/>
    </row>
    <row r="693" spans="1:23">
      <c r="A693" s="13">
        <v>69.099999999999994</v>
      </c>
      <c r="B693" s="13">
        <f t="shared" si="0"/>
        <v>0</v>
      </c>
      <c r="C693" s="13" t="str">
        <f>IF(B693&gt;=$S$2, A693, "")</f>
        <v/>
      </c>
      <c r="D693" s="13" t="str">
        <f>IF(AND(B693=1, B693&gt;=$S$2), A693, "")</f>
        <v/>
      </c>
      <c r="E693" s="13">
        <f>IF(B693&gt;=$S$2, B693, 0)</f>
        <v>0</v>
      </c>
      <c r="F693" s="13">
        <f t="shared" si="1"/>
        <v>0</v>
      </c>
      <c r="G693" s="13">
        <f t="shared" si="2"/>
        <v>0</v>
      </c>
      <c r="H693" s="13" t="str">
        <f>IF(B693&gt;=$T$2, A693, "")</f>
        <v/>
      </c>
      <c r="I693" s="14" t="e">
        <f t="shared" si="23"/>
        <v>#N/A</v>
      </c>
      <c r="J693" s="14">
        <v>0.5</v>
      </c>
      <c r="K693" s="14" t="e">
        <f t="shared" si="24"/>
        <v>#N/A</v>
      </c>
      <c r="L693" s="14">
        <v>0.4</v>
      </c>
      <c r="N693" s="4"/>
      <c r="O693" s="4"/>
      <c r="P693" s="5"/>
      <c r="Q693" s="1"/>
      <c r="R693" s="2"/>
      <c r="S693" s="2"/>
      <c r="T693" s="1"/>
      <c r="U693" s="2"/>
      <c r="V693" s="2"/>
      <c r="W693" s="2"/>
    </row>
    <row r="694" spans="1:23">
      <c r="A694" s="13">
        <v>69.2</v>
      </c>
      <c r="B694" s="13">
        <f t="shared" si="0"/>
        <v>0</v>
      </c>
      <c r="C694" s="13" t="str">
        <f>IF(B694&gt;=$S$2, A694, "")</f>
        <v/>
      </c>
      <c r="D694" s="13" t="str">
        <f>IF(AND(B694=1, B694&gt;=$S$2), A694, "")</f>
        <v/>
      </c>
      <c r="E694" s="13">
        <f>IF(B694&gt;=$S$2, B694, 0)</f>
        <v>0</v>
      </c>
      <c r="F694" s="13">
        <f t="shared" si="1"/>
        <v>0</v>
      </c>
      <c r="G694" s="13">
        <f t="shared" si="2"/>
        <v>0</v>
      </c>
      <c r="H694" s="13" t="str">
        <f>IF(B694&gt;=$T$2, A694, "")</f>
        <v/>
      </c>
      <c r="I694" s="14" t="e">
        <f t="shared" si="23"/>
        <v>#N/A</v>
      </c>
      <c r="J694" s="14">
        <v>0.5</v>
      </c>
      <c r="K694" s="14" t="e">
        <f t="shared" si="24"/>
        <v>#N/A</v>
      </c>
      <c r="L694" s="14">
        <v>0.4</v>
      </c>
      <c r="N694" s="4"/>
      <c r="O694" s="4"/>
      <c r="P694" s="5"/>
      <c r="Q694" s="1"/>
      <c r="R694" s="2"/>
      <c r="S694" s="2"/>
      <c r="T694" s="1"/>
      <c r="U694" s="2"/>
      <c r="V694" s="2"/>
      <c r="W694" s="2"/>
    </row>
    <row r="695" spans="1:23">
      <c r="A695" s="13">
        <v>69.3</v>
      </c>
      <c r="B695" s="13">
        <f t="shared" si="0"/>
        <v>0</v>
      </c>
      <c r="C695" s="13" t="str">
        <f>IF(B695&gt;=$S$2, A695, "")</f>
        <v/>
      </c>
      <c r="D695" s="13" t="str">
        <f>IF(AND(B695=1, B695&gt;=$S$2), A695, "")</f>
        <v/>
      </c>
      <c r="E695" s="13">
        <f>IF(B695&gt;=$S$2, B695, 0)</f>
        <v>0</v>
      </c>
      <c r="F695" s="13">
        <f t="shared" si="1"/>
        <v>0</v>
      </c>
      <c r="G695" s="13">
        <f t="shared" si="2"/>
        <v>0</v>
      </c>
      <c r="H695" s="13" t="str">
        <f>IF(B695&gt;=$T$2, A695, "")</f>
        <v/>
      </c>
      <c r="I695" s="14" t="e">
        <f t="shared" si="23"/>
        <v>#N/A</v>
      </c>
      <c r="J695" s="14">
        <v>0.5</v>
      </c>
      <c r="K695" s="14" t="e">
        <f t="shared" si="24"/>
        <v>#N/A</v>
      </c>
      <c r="L695" s="14">
        <v>0.4</v>
      </c>
      <c r="N695" s="4"/>
      <c r="O695" s="4"/>
      <c r="P695" s="5"/>
      <c r="Q695" s="1"/>
      <c r="R695" s="2"/>
      <c r="S695" s="2"/>
      <c r="T695" s="1"/>
      <c r="U695" s="2"/>
      <c r="V695" s="2"/>
      <c r="W695" s="2"/>
    </row>
    <row r="696" spans="1:23">
      <c r="A696" s="13">
        <v>69.400000000000006</v>
      </c>
      <c r="B696" s="13">
        <f t="shared" si="0"/>
        <v>0</v>
      </c>
      <c r="C696" s="13" t="str">
        <f>IF(B696&gt;=$S$2, A696, "")</f>
        <v/>
      </c>
      <c r="D696" s="13" t="str">
        <f>IF(AND(B696=1, B696&gt;=$S$2), A696, "")</f>
        <v/>
      </c>
      <c r="E696" s="13">
        <f>IF(B696&gt;=$S$2, B696, 0)</f>
        <v>0</v>
      </c>
      <c r="F696" s="13">
        <f t="shared" si="1"/>
        <v>0</v>
      </c>
      <c r="G696" s="13">
        <f t="shared" si="2"/>
        <v>0</v>
      </c>
      <c r="H696" s="13" t="str">
        <f>IF(B696&gt;=$T$2, A696, "")</f>
        <v/>
      </c>
      <c r="I696" s="14" t="e">
        <f t="shared" si="23"/>
        <v>#N/A</v>
      </c>
      <c r="J696" s="14">
        <v>0.5</v>
      </c>
      <c r="K696" s="14" t="e">
        <f t="shared" si="24"/>
        <v>#N/A</v>
      </c>
      <c r="L696" s="14">
        <v>0.4</v>
      </c>
      <c r="N696" s="4"/>
      <c r="O696" s="4"/>
      <c r="P696" s="5"/>
      <c r="Q696" s="1"/>
      <c r="R696" s="2"/>
      <c r="S696" s="2"/>
      <c r="T696" s="1"/>
      <c r="U696" s="2"/>
      <c r="V696" s="2"/>
      <c r="W696" s="2"/>
    </row>
    <row r="697" spans="1:23">
      <c r="A697" s="13">
        <v>69.5</v>
      </c>
      <c r="B697" s="13">
        <f t="shared" si="0"/>
        <v>0</v>
      </c>
      <c r="C697" s="13" t="str">
        <f>IF(B697&gt;=$S$2, A697, "")</f>
        <v/>
      </c>
      <c r="D697" s="13" t="str">
        <f>IF(AND(B697=1, B697&gt;=$S$2), A697, "")</f>
        <v/>
      </c>
      <c r="E697" s="13">
        <f>IF(B697&gt;=$S$2, B697, 0)</f>
        <v>0</v>
      </c>
      <c r="F697" s="13">
        <f t="shared" si="1"/>
        <v>0</v>
      </c>
      <c r="G697" s="13">
        <f t="shared" si="2"/>
        <v>0</v>
      </c>
      <c r="H697" s="13" t="str">
        <f>IF(B697&gt;=$T$2, A697, "")</f>
        <v/>
      </c>
      <c r="I697" s="14" t="e">
        <f t="shared" si="23"/>
        <v>#N/A</v>
      </c>
      <c r="J697" s="14">
        <v>0.5</v>
      </c>
      <c r="K697" s="14" t="e">
        <f t="shared" si="24"/>
        <v>#N/A</v>
      </c>
      <c r="L697" s="14">
        <v>0.4</v>
      </c>
      <c r="N697" s="4"/>
      <c r="O697" s="4"/>
      <c r="P697" s="5"/>
      <c r="Q697" s="1"/>
      <c r="R697" s="2"/>
      <c r="S697" s="2"/>
      <c r="T697" s="1"/>
      <c r="U697" s="2"/>
      <c r="V697" s="2"/>
      <c r="W697" s="2"/>
    </row>
    <row r="698" spans="1:23">
      <c r="A698" s="13">
        <v>69.599999999999994</v>
      </c>
      <c r="B698" s="13">
        <f t="shared" si="0"/>
        <v>0</v>
      </c>
      <c r="C698" s="13" t="str">
        <f>IF(B698&gt;=$S$2, A698, "")</f>
        <v/>
      </c>
      <c r="D698" s="13" t="str">
        <f>IF(AND(B698=1, B698&gt;=$S$2), A698, "")</f>
        <v/>
      </c>
      <c r="E698" s="13">
        <f>IF(B698&gt;=$S$2, B698, 0)</f>
        <v>0</v>
      </c>
      <c r="F698" s="13">
        <f t="shared" si="1"/>
        <v>0</v>
      </c>
      <c r="G698" s="13">
        <f t="shared" si="2"/>
        <v>0</v>
      </c>
      <c r="H698" s="13" t="str">
        <f>IF(B698&gt;=$T$2, A698, "")</f>
        <v/>
      </c>
      <c r="I698" s="14" t="e">
        <f t="shared" si="23"/>
        <v>#N/A</v>
      </c>
      <c r="J698" s="14">
        <v>0.5</v>
      </c>
      <c r="K698" s="14" t="e">
        <f t="shared" si="24"/>
        <v>#N/A</v>
      </c>
      <c r="L698" s="14">
        <v>0.4</v>
      </c>
      <c r="N698" s="4"/>
      <c r="O698" s="4"/>
      <c r="P698" s="5"/>
      <c r="Q698" s="1"/>
      <c r="R698" s="2"/>
      <c r="S698" s="2"/>
      <c r="T698" s="1"/>
      <c r="U698" s="2"/>
      <c r="V698" s="2"/>
      <c r="W698" s="2"/>
    </row>
    <row r="699" spans="1:23">
      <c r="A699" s="13">
        <v>69.7</v>
      </c>
      <c r="B699" s="13">
        <f t="shared" si="0"/>
        <v>0</v>
      </c>
      <c r="C699" s="13" t="str">
        <f>IF(B699&gt;=$S$2, A699, "")</f>
        <v/>
      </c>
      <c r="D699" s="13" t="str">
        <f>IF(AND(B699=1, B699&gt;=$S$2), A699, "")</f>
        <v/>
      </c>
      <c r="E699" s="13">
        <f>IF(B699&gt;=$S$2, B699, 0)</f>
        <v>0</v>
      </c>
      <c r="F699" s="13">
        <f t="shared" si="1"/>
        <v>0</v>
      </c>
      <c r="G699" s="13">
        <f t="shared" si="2"/>
        <v>0</v>
      </c>
      <c r="H699" s="13" t="str">
        <f>IF(B699&gt;=$T$2, A699, "")</f>
        <v/>
      </c>
      <c r="I699" s="14" t="e">
        <f t="shared" si="23"/>
        <v>#N/A</v>
      </c>
      <c r="J699" s="14">
        <v>0.5</v>
      </c>
      <c r="K699" s="14" t="e">
        <f t="shared" si="24"/>
        <v>#N/A</v>
      </c>
      <c r="L699" s="14">
        <v>0.4</v>
      </c>
      <c r="N699" s="4"/>
      <c r="O699" s="4"/>
      <c r="P699" s="5"/>
      <c r="Q699" s="1"/>
      <c r="R699" s="2"/>
      <c r="S699" s="2"/>
      <c r="T699" s="1"/>
      <c r="U699" s="2"/>
      <c r="V699" s="2"/>
      <c r="W699" s="2"/>
    </row>
    <row r="700" spans="1:23">
      <c r="A700" s="13">
        <v>69.8</v>
      </c>
      <c r="B700" s="13">
        <f t="shared" si="0"/>
        <v>0</v>
      </c>
      <c r="C700" s="13" t="str">
        <f>IF(B700&gt;=$S$2, A700, "")</f>
        <v/>
      </c>
      <c r="D700" s="13" t="str">
        <f>IF(AND(B700=1, B700&gt;=$S$2), A700, "")</f>
        <v/>
      </c>
      <c r="E700" s="13">
        <f>IF(B700&gt;=$S$2, B700, 0)</f>
        <v>0</v>
      </c>
      <c r="F700" s="13">
        <f t="shared" si="1"/>
        <v>0</v>
      </c>
      <c r="G700" s="13">
        <f t="shared" si="2"/>
        <v>0</v>
      </c>
      <c r="H700" s="13" t="str">
        <f>IF(B700&gt;=$T$2, A700, "")</f>
        <v/>
      </c>
      <c r="I700" s="14" t="e">
        <f t="shared" si="23"/>
        <v>#N/A</v>
      </c>
      <c r="J700" s="14">
        <v>0.5</v>
      </c>
      <c r="K700" s="14" t="e">
        <f t="shared" si="24"/>
        <v>#N/A</v>
      </c>
      <c r="L700" s="14">
        <v>0.4</v>
      </c>
      <c r="N700" s="4"/>
      <c r="O700" s="4"/>
      <c r="P700" s="5"/>
      <c r="Q700" s="1"/>
      <c r="R700" s="2"/>
      <c r="S700" s="2"/>
      <c r="T700" s="1"/>
      <c r="U700" s="2"/>
      <c r="V700" s="2"/>
      <c r="W700" s="2"/>
    </row>
    <row r="701" spans="1:23">
      <c r="A701" s="13">
        <v>69.900000000000006</v>
      </c>
      <c r="B701" s="13">
        <f t="shared" si="0"/>
        <v>0</v>
      </c>
      <c r="C701" s="13" t="str">
        <f>IF(B701&gt;=$S$2, A701, "")</f>
        <v/>
      </c>
      <c r="D701" s="13" t="str">
        <f>IF(AND(B701=1, B701&gt;=$S$2), A701, "")</f>
        <v/>
      </c>
      <c r="E701" s="13">
        <f>IF(B701&gt;=$S$2, B701, 0)</f>
        <v>0</v>
      </c>
      <c r="F701" s="13">
        <f t="shared" si="1"/>
        <v>0</v>
      </c>
      <c r="G701" s="13">
        <f t="shared" si="2"/>
        <v>0</v>
      </c>
      <c r="H701" s="13" t="str">
        <f>IF(B701&gt;=$T$2, A701, "")</f>
        <v/>
      </c>
      <c r="I701" s="14" t="e">
        <f t="shared" si="23"/>
        <v>#N/A</v>
      </c>
      <c r="J701" s="14">
        <v>0.5</v>
      </c>
      <c r="K701" s="14" t="e">
        <f t="shared" si="24"/>
        <v>#N/A</v>
      </c>
      <c r="L701" s="14">
        <v>0.4</v>
      </c>
      <c r="N701" s="4"/>
      <c r="O701" s="4"/>
      <c r="P701" s="5"/>
      <c r="Q701" s="1"/>
      <c r="R701" s="2"/>
      <c r="S701" s="2"/>
      <c r="T701" s="1"/>
      <c r="U701" s="2"/>
      <c r="V701" s="2"/>
      <c r="W701" s="2"/>
    </row>
    <row r="702" spans="1:23">
      <c r="A702" s="13">
        <v>70</v>
      </c>
      <c r="B702" s="13">
        <f t="shared" si="0"/>
        <v>0</v>
      </c>
      <c r="C702" s="13" t="str">
        <f>IF(B702&gt;=$S$2, A702, "")</f>
        <v/>
      </c>
      <c r="D702" s="13" t="str">
        <f>IF(AND(B702=1, B702&gt;=$S$2), A702, "")</f>
        <v/>
      </c>
      <c r="E702" s="13">
        <f>IF(B702&gt;=$S$2, B702, 0)</f>
        <v>0</v>
      </c>
      <c r="F702" s="13">
        <f t="shared" si="1"/>
        <v>0</v>
      </c>
      <c r="G702" s="13">
        <f t="shared" si="2"/>
        <v>0</v>
      </c>
      <c r="H702" s="13" t="str">
        <f>IF(B702&gt;=$T$2, A702, "")</f>
        <v/>
      </c>
      <c r="I702" s="14" t="e">
        <f t="shared" si="23"/>
        <v>#N/A</v>
      </c>
      <c r="J702" s="14">
        <v>0.5</v>
      </c>
      <c r="K702" s="14" t="e">
        <f t="shared" si="24"/>
        <v>#N/A</v>
      </c>
      <c r="L702" s="14">
        <v>0.4</v>
      </c>
      <c r="N702" s="4"/>
      <c r="O702" s="4"/>
      <c r="P702" s="5"/>
      <c r="Q702" s="1"/>
      <c r="R702" s="2"/>
      <c r="S702" s="2"/>
      <c r="T702" s="1"/>
      <c r="U702" s="2"/>
      <c r="V702" s="2"/>
      <c r="W702" s="2"/>
    </row>
    <row r="703" spans="1:23">
      <c r="N703" s="4"/>
      <c r="O703" s="4"/>
    </row>
    <row r="704" spans="1:23">
      <c r="N704" s="4"/>
      <c r="O704" s="4"/>
    </row>
    <row r="705" spans="14:15">
      <c r="N705" s="4"/>
      <c r="O705" s="4"/>
    </row>
    <row r="706" spans="14:15">
      <c r="N706" s="4"/>
      <c r="O706" s="4"/>
    </row>
    <row r="707" spans="14:15">
      <c r="N707" s="4"/>
      <c r="O707" s="4"/>
    </row>
    <row r="708" spans="14:15">
      <c r="N708" s="4"/>
      <c r="O708" s="4"/>
    </row>
    <row r="709" spans="14:15">
      <c r="N709" s="4"/>
      <c r="O709" s="4"/>
    </row>
    <row r="710" spans="14:15">
      <c r="N710" s="4"/>
      <c r="O710" s="4"/>
    </row>
    <row r="711" spans="14:15">
      <c r="N711" s="4"/>
      <c r="O711" s="4"/>
    </row>
    <row r="712" spans="14:15">
      <c r="N712" s="4"/>
      <c r="O712" s="4"/>
    </row>
    <row r="713" spans="14:15">
      <c r="N713" s="4"/>
      <c r="O713" s="4"/>
    </row>
    <row r="714" spans="14:15">
      <c r="N714" s="4"/>
      <c r="O714" s="4"/>
    </row>
    <row r="715" spans="14:15">
      <c r="N715" s="4"/>
      <c r="O715" s="4"/>
    </row>
    <row r="716" spans="14:15">
      <c r="N716" s="4"/>
      <c r="O716" s="4"/>
    </row>
    <row r="717" spans="14:15">
      <c r="N717" s="4"/>
      <c r="O717" s="4"/>
    </row>
    <row r="718" spans="14:15">
      <c r="N718" s="4"/>
      <c r="O718" s="4"/>
    </row>
    <row r="719" spans="14:15">
      <c r="N719" s="4"/>
      <c r="O719" s="4"/>
    </row>
    <row r="720" spans="14:15">
      <c r="N720" s="4"/>
      <c r="O720" s="4"/>
    </row>
    <row r="721" spans="14:15">
      <c r="N721" s="4"/>
      <c r="O721" s="4"/>
    </row>
    <row r="722" spans="14:15">
      <c r="N722" s="4"/>
      <c r="O722" s="4"/>
    </row>
    <row r="723" spans="14:15">
      <c r="N723" s="4"/>
      <c r="O723" s="4"/>
    </row>
    <row r="724" spans="14:15">
      <c r="N724" s="4"/>
      <c r="O724" s="4"/>
    </row>
    <row r="725" spans="14:15">
      <c r="N725" s="4"/>
      <c r="O725" s="4"/>
    </row>
    <row r="726" spans="14:15">
      <c r="N726" s="4"/>
      <c r="O726" s="4"/>
    </row>
    <row r="727" spans="14:15">
      <c r="N727" s="4"/>
      <c r="O727" s="4"/>
    </row>
    <row r="728" spans="14:15">
      <c r="N728" s="4"/>
      <c r="O728" s="4"/>
    </row>
    <row r="729" spans="14:15">
      <c r="N729" s="4"/>
      <c r="O729" s="4"/>
    </row>
    <row r="730" spans="14:15">
      <c r="N730" s="4"/>
      <c r="O730" s="4"/>
    </row>
    <row r="731" spans="14:15">
      <c r="N731" s="4"/>
      <c r="O731" s="4"/>
    </row>
    <row r="732" spans="14:15">
      <c r="N732" s="4"/>
      <c r="O732" s="4"/>
    </row>
    <row r="733" spans="14:15">
      <c r="N733" s="4"/>
      <c r="O733" s="4"/>
    </row>
    <row r="734" spans="14:15">
      <c r="N734" s="4"/>
      <c r="O734" s="4"/>
    </row>
    <row r="735" spans="14:15">
      <c r="N735" s="4"/>
      <c r="O735" s="4"/>
    </row>
    <row r="736" spans="14:15">
      <c r="N736" s="4"/>
      <c r="O736" s="4"/>
    </row>
    <row r="737" spans="14:15">
      <c r="N737" s="4"/>
      <c r="O737" s="4"/>
    </row>
    <row r="738" spans="14:15">
      <c r="N738" s="4"/>
      <c r="O738" s="4"/>
    </row>
    <row r="739" spans="14:15">
      <c r="N739" s="4"/>
      <c r="O739" s="4"/>
    </row>
    <row r="740" spans="14:15">
      <c r="N740" s="4"/>
      <c r="O740" s="4"/>
    </row>
    <row r="741" spans="14:15">
      <c r="N741" s="4"/>
      <c r="O741" s="4"/>
    </row>
    <row r="742" spans="14:15">
      <c r="N742" s="4"/>
      <c r="O742" s="4"/>
    </row>
    <row r="743" spans="14:15">
      <c r="N743" s="4"/>
      <c r="O743" s="4"/>
    </row>
    <row r="744" spans="14:15">
      <c r="N744" s="4"/>
      <c r="O744" s="4"/>
    </row>
    <row r="745" spans="14:15">
      <c r="N745" s="4"/>
      <c r="O745" s="4"/>
    </row>
    <row r="746" spans="14:15">
      <c r="N746" s="4"/>
      <c r="O746" s="4"/>
    </row>
    <row r="747" spans="14:15">
      <c r="N747" s="4"/>
      <c r="O747" s="4"/>
    </row>
    <row r="748" spans="14:15">
      <c r="N748" s="4"/>
      <c r="O748" s="4"/>
    </row>
    <row r="749" spans="14:15">
      <c r="N749" s="4"/>
      <c r="O749" s="4"/>
    </row>
    <row r="750" spans="14:15">
      <c r="N750" s="4"/>
      <c r="O750" s="4"/>
    </row>
    <row r="751" spans="14:15">
      <c r="N751" s="4"/>
      <c r="O751" s="4"/>
    </row>
    <row r="752" spans="14:15">
      <c r="N752" s="4"/>
      <c r="O752" s="4"/>
    </row>
    <row r="753" spans="14:15">
      <c r="N753" s="4"/>
      <c r="O753" s="4"/>
    </row>
    <row r="754" spans="14:15">
      <c r="N754" s="4"/>
      <c r="O754" s="4"/>
    </row>
    <row r="755" spans="14:15">
      <c r="N755" s="4"/>
      <c r="O755" s="4"/>
    </row>
    <row r="756" spans="14:15">
      <c r="N756" s="4"/>
      <c r="O756" s="4"/>
    </row>
    <row r="757" spans="14:15">
      <c r="N757" s="4"/>
      <c r="O757" s="4"/>
    </row>
    <row r="758" spans="14:15">
      <c r="N758" s="4"/>
      <c r="O758" s="4"/>
    </row>
    <row r="759" spans="14:15">
      <c r="N759" s="4"/>
      <c r="O759" s="4"/>
    </row>
    <row r="760" spans="14:15">
      <c r="N760" s="4"/>
      <c r="O760" s="4"/>
    </row>
    <row r="761" spans="14:15">
      <c r="N761" s="4"/>
      <c r="O761" s="4"/>
    </row>
    <row r="762" spans="14:15">
      <c r="N762" s="4"/>
      <c r="O762" s="4"/>
    </row>
    <row r="763" spans="14:15">
      <c r="N763" s="4"/>
      <c r="O763" s="4"/>
    </row>
    <row r="764" spans="14:15">
      <c r="N764" s="4"/>
      <c r="O764" s="4"/>
    </row>
    <row r="765" spans="14:15">
      <c r="N765" s="4"/>
      <c r="O765" s="4"/>
    </row>
    <row r="766" spans="14:15">
      <c r="N766" s="4"/>
      <c r="O766" s="4"/>
    </row>
    <row r="767" spans="14:15">
      <c r="N767" s="4"/>
      <c r="O767" s="4"/>
    </row>
    <row r="768" spans="14:15">
      <c r="N768" s="4"/>
      <c r="O768" s="4"/>
    </row>
    <row r="769" spans="14:15">
      <c r="N769" s="4"/>
      <c r="O769" s="4"/>
    </row>
    <row r="770" spans="14:15">
      <c r="N770" s="4"/>
      <c r="O770" s="4"/>
    </row>
    <row r="771" spans="14:15">
      <c r="N771" s="4"/>
      <c r="O771" s="4"/>
    </row>
    <row r="772" spans="14:15">
      <c r="N772" s="4"/>
      <c r="O772" s="4"/>
    </row>
    <row r="773" spans="14:15">
      <c r="N773" s="4"/>
      <c r="O773" s="4"/>
    </row>
    <row r="774" spans="14:15">
      <c r="N774" s="4"/>
      <c r="O774" s="4"/>
    </row>
    <row r="775" spans="14:15">
      <c r="N775" s="4"/>
      <c r="O775" s="4"/>
    </row>
    <row r="776" spans="14:15">
      <c r="N776" s="4"/>
      <c r="O776" s="4"/>
    </row>
    <row r="777" spans="14:15">
      <c r="N777" s="4"/>
      <c r="O777" s="4"/>
    </row>
    <row r="778" spans="14:15">
      <c r="N778" s="4"/>
      <c r="O778" s="4"/>
    </row>
    <row r="779" spans="14:15">
      <c r="N779" s="4"/>
      <c r="O779" s="4"/>
    </row>
    <row r="780" spans="14:15">
      <c r="N780" s="4"/>
      <c r="O780" s="4"/>
    </row>
    <row r="781" spans="14:15">
      <c r="N781" s="4"/>
      <c r="O781" s="4"/>
    </row>
    <row r="782" spans="14:15">
      <c r="N782" s="4"/>
      <c r="O782" s="4"/>
    </row>
    <row r="783" spans="14:15">
      <c r="N783" s="4"/>
      <c r="O783" s="4"/>
    </row>
    <row r="784" spans="14:15">
      <c r="N784" s="4"/>
      <c r="O784" s="4"/>
    </row>
    <row r="785" spans="14:15">
      <c r="N785" s="4"/>
      <c r="O785" s="4"/>
    </row>
    <row r="786" spans="14:15">
      <c r="N786" s="4"/>
      <c r="O786" s="4"/>
    </row>
    <row r="787" spans="14:15">
      <c r="N787" s="4"/>
      <c r="O787" s="4"/>
    </row>
    <row r="788" spans="14:15">
      <c r="N788" s="4"/>
      <c r="O788" s="4"/>
    </row>
    <row r="789" spans="14:15">
      <c r="N789" s="4"/>
      <c r="O789" s="4"/>
    </row>
    <row r="790" spans="14:15">
      <c r="N790" s="4"/>
      <c r="O790" s="4"/>
    </row>
    <row r="791" spans="14:15">
      <c r="N791" s="4"/>
      <c r="O791" s="4"/>
    </row>
    <row r="792" spans="14:15">
      <c r="N792" s="4"/>
      <c r="O792" s="4"/>
    </row>
    <row r="793" spans="14:15">
      <c r="N793" s="4"/>
      <c r="O793" s="4"/>
    </row>
    <row r="794" spans="14:15">
      <c r="N794" s="4"/>
      <c r="O794" s="4"/>
    </row>
    <row r="795" spans="14:15">
      <c r="N795" s="4"/>
      <c r="O795" s="4"/>
    </row>
    <row r="796" spans="14:15">
      <c r="N796" s="4"/>
      <c r="O796" s="4"/>
    </row>
    <row r="797" spans="14:15">
      <c r="N797" s="4"/>
      <c r="O797" s="4"/>
    </row>
    <row r="798" spans="14:15">
      <c r="N798" s="4"/>
      <c r="O798" s="4"/>
    </row>
    <row r="799" spans="14:15">
      <c r="N799" s="4"/>
      <c r="O799" s="4"/>
    </row>
    <row r="800" spans="14:15">
      <c r="N800" s="4"/>
      <c r="O800" s="4"/>
    </row>
    <row r="801" spans="14:15">
      <c r="N801" s="4"/>
      <c r="O801" s="4"/>
    </row>
    <row r="802" spans="14:15">
      <c r="N802" s="4"/>
      <c r="O802" s="4"/>
    </row>
    <row r="803" spans="14:15">
      <c r="N803" s="4"/>
      <c r="O803" s="4"/>
    </row>
    <row r="804" spans="14:15">
      <c r="N804" s="4"/>
      <c r="O804" s="4"/>
    </row>
    <row r="805" spans="14:15">
      <c r="N805" s="4"/>
      <c r="O805" s="4"/>
    </row>
    <row r="806" spans="14:15">
      <c r="N806" s="4"/>
      <c r="O806" s="4"/>
    </row>
    <row r="807" spans="14:15">
      <c r="N807" s="4"/>
      <c r="O807" s="4"/>
    </row>
    <row r="808" spans="14:15">
      <c r="N808" s="4"/>
      <c r="O808" s="4"/>
    </row>
    <row r="809" spans="14:15">
      <c r="N809" s="4"/>
      <c r="O809" s="4"/>
    </row>
    <row r="810" spans="14:15">
      <c r="N810" s="4"/>
      <c r="O810" s="4"/>
    </row>
    <row r="811" spans="14:15">
      <c r="N811" s="4"/>
      <c r="O811" s="4"/>
    </row>
    <row r="812" spans="14:15">
      <c r="N812" s="4"/>
      <c r="O812" s="4"/>
    </row>
    <row r="813" spans="14:15">
      <c r="N813" s="4"/>
      <c r="O813" s="4"/>
    </row>
    <row r="814" spans="14:15">
      <c r="N814" s="4"/>
      <c r="O814" s="4"/>
    </row>
    <row r="815" spans="14:15">
      <c r="N815" s="4"/>
      <c r="O815" s="4"/>
    </row>
    <row r="816" spans="14:15">
      <c r="N816" s="4"/>
      <c r="O816" s="4"/>
    </row>
    <row r="817" spans="14:15">
      <c r="N817" s="4"/>
      <c r="O817" s="4"/>
    </row>
    <row r="818" spans="14:15">
      <c r="N818" s="4"/>
      <c r="O818" s="4"/>
    </row>
    <row r="819" spans="14:15">
      <c r="N819" s="4"/>
      <c r="O819" s="4"/>
    </row>
    <row r="820" spans="14:15">
      <c r="N820" s="4"/>
      <c r="O820" s="4"/>
    </row>
    <row r="821" spans="14:15">
      <c r="N821" s="4"/>
      <c r="O821" s="4"/>
    </row>
    <row r="822" spans="14:15">
      <c r="N822" s="4"/>
      <c r="O822" s="4"/>
    </row>
    <row r="823" spans="14:15">
      <c r="N823" s="4"/>
      <c r="O823" s="4"/>
    </row>
    <row r="824" spans="14:15">
      <c r="N824" s="4"/>
      <c r="O824" s="4"/>
    </row>
    <row r="825" spans="14:15">
      <c r="N825" s="4"/>
      <c r="O825" s="4"/>
    </row>
    <row r="826" spans="14:15">
      <c r="N826" s="4"/>
      <c r="O826" s="4"/>
    </row>
    <row r="827" spans="14:15">
      <c r="N827" s="4"/>
      <c r="O827" s="4"/>
    </row>
    <row r="828" spans="14:15">
      <c r="N828" s="4"/>
      <c r="O828" s="4"/>
    </row>
    <row r="829" spans="14:15">
      <c r="N829" s="4"/>
      <c r="O829" s="4"/>
    </row>
    <row r="830" spans="14:15">
      <c r="N830" s="4"/>
      <c r="O830" s="4"/>
    </row>
    <row r="831" spans="14:15">
      <c r="N831" s="4"/>
      <c r="O831" s="4"/>
    </row>
    <row r="832" spans="14:15">
      <c r="N832" s="4"/>
      <c r="O832" s="4"/>
    </row>
    <row r="833" spans="14:15">
      <c r="N833" s="4"/>
      <c r="O833" s="4"/>
    </row>
    <row r="834" spans="14:15">
      <c r="N834" s="4"/>
      <c r="O834" s="4"/>
    </row>
    <row r="835" spans="14:15">
      <c r="N835" s="4"/>
      <c r="O835" s="4"/>
    </row>
    <row r="836" spans="14:15">
      <c r="N836" s="4"/>
      <c r="O836" s="4"/>
    </row>
    <row r="837" spans="14:15">
      <c r="N837" s="4"/>
      <c r="O837" s="4"/>
    </row>
    <row r="838" spans="14:15">
      <c r="N838" s="4"/>
      <c r="O838" s="4"/>
    </row>
    <row r="839" spans="14:15">
      <c r="N839" s="4"/>
      <c r="O839" s="4"/>
    </row>
    <row r="840" spans="14:15">
      <c r="N840" s="4"/>
      <c r="O840" s="4"/>
    </row>
    <row r="841" spans="14:15">
      <c r="N841" s="4"/>
      <c r="O841" s="4"/>
    </row>
    <row r="842" spans="14:15">
      <c r="N842" s="4"/>
      <c r="O842" s="4"/>
    </row>
    <row r="843" spans="14:15">
      <c r="N843" s="4"/>
      <c r="O843" s="4"/>
    </row>
    <row r="844" spans="14:15">
      <c r="N844" s="4"/>
      <c r="O844" s="4"/>
    </row>
    <row r="845" spans="14:15">
      <c r="N845" s="4"/>
      <c r="O845" s="4"/>
    </row>
    <row r="846" spans="14:15">
      <c r="N846" s="4"/>
      <c r="O846" s="4"/>
    </row>
    <row r="847" spans="14:15">
      <c r="N847" s="4"/>
      <c r="O847" s="4"/>
    </row>
    <row r="848" spans="14:15">
      <c r="N848" s="4"/>
      <c r="O848" s="4"/>
    </row>
    <row r="849" spans="14:15">
      <c r="N849" s="4"/>
      <c r="O849" s="4"/>
    </row>
    <row r="850" spans="14:15">
      <c r="N850" s="4"/>
      <c r="O850" s="4"/>
    </row>
    <row r="851" spans="14:15">
      <c r="N851" s="4"/>
      <c r="O851" s="4"/>
    </row>
    <row r="852" spans="14:15">
      <c r="N852" s="4"/>
      <c r="O852" s="4"/>
    </row>
    <row r="853" spans="14:15">
      <c r="N853" s="4"/>
      <c r="O853" s="4"/>
    </row>
    <row r="854" spans="14:15">
      <c r="N854" s="4"/>
      <c r="O854" s="4"/>
    </row>
    <row r="855" spans="14:15">
      <c r="N855" s="4"/>
      <c r="O855" s="4"/>
    </row>
    <row r="856" spans="14:15">
      <c r="N856" s="4"/>
      <c r="O856" s="4"/>
    </row>
    <row r="857" spans="14:15">
      <c r="N857" s="4"/>
      <c r="O857" s="4"/>
    </row>
    <row r="858" spans="14:15">
      <c r="N858" s="4"/>
      <c r="O858" s="4"/>
    </row>
    <row r="859" spans="14:15">
      <c r="N859" s="4"/>
      <c r="O859" s="4"/>
    </row>
    <row r="860" spans="14:15">
      <c r="N860" s="4"/>
      <c r="O860" s="4"/>
    </row>
    <row r="861" spans="14:15">
      <c r="N861" s="4"/>
      <c r="O861" s="4"/>
    </row>
    <row r="862" spans="14:15">
      <c r="N862" s="4"/>
      <c r="O862" s="4"/>
    </row>
    <row r="863" spans="14:15">
      <c r="N863" s="4"/>
      <c r="O863" s="4"/>
    </row>
    <row r="864" spans="14:15">
      <c r="N864" s="4"/>
      <c r="O864" s="4"/>
    </row>
    <row r="865" spans="14:15">
      <c r="N865" s="4"/>
      <c r="O865" s="4"/>
    </row>
    <row r="866" spans="14:15">
      <c r="N866" s="4"/>
      <c r="O866" s="4"/>
    </row>
    <row r="867" spans="14:15">
      <c r="N867" s="4"/>
      <c r="O867" s="4"/>
    </row>
    <row r="868" spans="14:15">
      <c r="N868" s="4"/>
      <c r="O868" s="4"/>
    </row>
    <row r="869" spans="14:15">
      <c r="N869" s="4"/>
      <c r="O869" s="4"/>
    </row>
    <row r="870" spans="14:15">
      <c r="N870" s="4"/>
      <c r="O870" s="4"/>
    </row>
    <row r="871" spans="14:15">
      <c r="N871" s="4"/>
      <c r="O871" s="4"/>
    </row>
    <row r="872" spans="14:15">
      <c r="N872" s="4"/>
      <c r="O872" s="4"/>
    </row>
    <row r="873" spans="14:15">
      <c r="N873" s="4"/>
      <c r="O873" s="4"/>
    </row>
    <row r="874" spans="14:15">
      <c r="N874" s="4"/>
      <c r="O874" s="4"/>
    </row>
    <row r="875" spans="14:15">
      <c r="N875" s="4"/>
      <c r="O875" s="4"/>
    </row>
    <row r="876" spans="14:15">
      <c r="N876" s="4"/>
      <c r="O876" s="4"/>
    </row>
    <row r="877" spans="14:15">
      <c r="N877" s="4"/>
      <c r="O877" s="4"/>
    </row>
    <row r="878" spans="14:15">
      <c r="N878" s="4"/>
      <c r="O878" s="4"/>
    </row>
    <row r="879" spans="14:15">
      <c r="N879" s="4"/>
      <c r="O879" s="4"/>
    </row>
    <row r="880" spans="14:15">
      <c r="N880" s="4"/>
      <c r="O880" s="4"/>
    </row>
    <row r="881" spans="14:15">
      <c r="N881" s="4"/>
      <c r="O881" s="4"/>
    </row>
    <row r="882" spans="14:15">
      <c r="N882" s="4"/>
      <c r="O882" s="4"/>
    </row>
    <row r="883" spans="14:15">
      <c r="N883" s="4"/>
      <c r="O883" s="4"/>
    </row>
    <row r="884" spans="14:15">
      <c r="N884" s="4"/>
      <c r="O884" s="4"/>
    </row>
    <row r="885" spans="14:15">
      <c r="N885" s="4"/>
      <c r="O885" s="4"/>
    </row>
    <row r="886" spans="14:15">
      <c r="N886" s="4"/>
      <c r="O886" s="4"/>
    </row>
    <row r="887" spans="14:15">
      <c r="N887" s="4"/>
      <c r="O887" s="4"/>
    </row>
    <row r="888" spans="14:15">
      <c r="N888" s="4"/>
      <c r="O888" s="4"/>
    </row>
    <row r="889" spans="14:15">
      <c r="N889" s="4"/>
      <c r="O889" s="4"/>
    </row>
    <row r="890" spans="14:15">
      <c r="N890" s="4"/>
      <c r="O890" s="4"/>
    </row>
    <row r="891" spans="14:15">
      <c r="N891" s="4"/>
      <c r="O891" s="4"/>
    </row>
    <row r="892" spans="14:15">
      <c r="N892" s="4"/>
      <c r="O892" s="4"/>
    </row>
    <row r="893" spans="14:15">
      <c r="N893" s="4"/>
      <c r="O893" s="4"/>
    </row>
    <row r="894" spans="14:15">
      <c r="N894" s="4"/>
      <c r="O894" s="4"/>
    </row>
    <row r="895" spans="14:15">
      <c r="N895" s="4"/>
      <c r="O895" s="4"/>
    </row>
    <row r="896" spans="14:15">
      <c r="N896" s="4"/>
      <c r="O896" s="4"/>
    </row>
    <row r="897" spans="14:15">
      <c r="N897" s="4"/>
      <c r="O897" s="4"/>
    </row>
    <row r="898" spans="14:15">
      <c r="N898" s="4"/>
      <c r="O898" s="4"/>
    </row>
    <row r="899" spans="14:15">
      <c r="N899" s="4"/>
      <c r="O899" s="4"/>
    </row>
    <row r="900" spans="14:15">
      <c r="N900" s="4"/>
      <c r="O900" s="4"/>
    </row>
    <row r="901" spans="14:15">
      <c r="N901" s="4"/>
      <c r="O901" s="4"/>
    </row>
    <row r="902" spans="14:15">
      <c r="N902" s="4"/>
      <c r="O902" s="4"/>
    </row>
    <row r="903" spans="14:15">
      <c r="N903" s="4"/>
      <c r="O903" s="4"/>
    </row>
    <row r="904" spans="14:15">
      <c r="N904" s="4"/>
      <c r="O904" s="4"/>
    </row>
    <row r="905" spans="14:15">
      <c r="N905" s="4"/>
      <c r="O905" s="4"/>
    </row>
    <row r="906" spans="14:15">
      <c r="N906" s="4"/>
      <c r="O906" s="4"/>
    </row>
    <row r="907" spans="14:15">
      <c r="N907" s="4"/>
      <c r="O907" s="4"/>
    </row>
    <row r="908" spans="14:15">
      <c r="N908" s="4"/>
      <c r="O908" s="4"/>
    </row>
    <row r="909" spans="14:15">
      <c r="N909" s="4"/>
      <c r="O909" s="4"/>
    </row>
    <row r="910" spans="14:15">
      <c r="N910" s="4"/>
      <c r="O910" s="4"/>
    </row>
    <row r="911" spans="14:15">
      <c r="N911" s="4"/>
      <c r="O911" s="4"/>
    </row>
    <row r="912" spans="14:15">
      <c r="N912" s="4"/>
      <c r="O912" s="4"/>
    </row>
    <row r="913" spans="14:15">
      <c r="N913" s="4"/>
      <c r="O913" s="4"/>
    </row>
    <row r="914" spans="14:15">
      <c r="N914" s="4"/>
      <c r="O914" s="4"/>
    </row>
    <row r="915" spans="14:15">
      <c r="N915" s="4"/>
      <c r="O915" s="4"/>
    </row>
    <row r="916" spans="14:15">
      <c r="N916" s="4"/>
      <c r="O916" s="4"/>
    </row>
    <row r="917" spans="14:15">
      <c r="N917" s="4"/>
      <c r="O917" s="4"/>
    </row>
    <row r="918" spans="14:15">
      <c r="N918" s="4"/>
      <c r="O918" s="4"/>
    </row>
    <row r="919" spans="14:15">
      <c r="N919" s="4"/>
      <c r="O919" s="4"/>
    </row>
    <row r="920" spans="14:15">
      <c r="N920" s="4"/>
      <c r="O920" s="4"/>
    </row>
    <row r="921" spans="14:15">
      <c r="N921" s="4"/>
      <c r="O921" s="4"/>
    </row>
    <row r="922" spans="14:15">
      <c r="N922" s="4"/>
      <c r="O922" s="4"/>
    </row>
    <row r="923" spans="14:15">
      <c r="N923" s="4"/>
      <c r="O923" s="4"/>
    </row>
    <row r="924" spans="14:15">
      <c r="N924" s="4"/>
      <c r="O924" s="4"/>
    </row>
    <row r="925" spans="14:15">
      <c r="N925" s="4"/>
      <c r="O925" s="4"/>
    </row>
    <row r="926" spans="14:15">
      <c r="N926" s="4"/>
      <c r="O926" s="4"/>
    </row>
    <row r="927" spans="14:15">
      <c r="N927" s="4"/>
      <c r="O927" s="4"/>
    </row>
    <row r="928" spans="14:15">
      <c r="N928" s="4"/>
      <c r="O928" s="4"/>
    </row>
    <row r="929" spans="14:15">
      <c r="N929" s="4"/>
      <c r="O929" s="4"/>
    </row>
    <row r="930" spans="14:15">
      <c r="N930" s="4"/>
      <c r="O930" s="4"/>
    </row>
    <row r="931" spans="14:15">
      <c r="N931" s="4"/>
      <c r="O931" s="4"/>
    </row>
    <row r="932" spans="14:15">
      <c r="N932" s="4"/>
      <c r="O932" s="4"/>
    </row>
    <row r="933" spans="14:15">
      <c r="N933" s="4"/>
      <c r="O933" s="4"/>
    </row>
    <row r="934" spans="14:15">
      <c r="N934" s="4"/>
      <c r="O934" s="4"/>
    </row>
    <row r="935" spans="14:15">
      <c r="N935" s="4"/>
      <c r="O935" s="4"/>
    </row>
    <row r="936" spans="14:15">
      <c r="N936" s="4"/>
      <c r="O936" s="4"/>
    </row>
    <row r="937" spans="14:15">
      <c r="N937" s="4"/>
      <c r="O937" s="4"/>
    </row>
    <row r="938" spans="14:15">
      <c r="N938" s="4"/>
      <c r="O938" s="4"/>
    </row>
    <row r="939" spans="14:15">
      <c r="N939" s="4"/>
      <c r="O939" s="4"/>
    </row>
    <row r="940" spans="14:15">
      <c r="N940" s="4"/>
      <c r="O940" s="4"/>
    </row>
    <row r="941" spans="14:15">
      <c r="N941" s="4"/>
      <c r="O941" s="4"/>
    </row>
    <row r="942" spans="14:15">
      <c r="N942" s="4"/>
      <c r="O942" s="4"/>
    </row>
    <row r="943" spans="14:15">
      <c r="N943" s="4"/>
      <c r="O943" s="4"/>
    </row>
    <row r="944" spans="14:15">
      <c r="N944" s="4"/>
      <c r="O944" s="4"/>
    </row>
    <row r="945" spans="14:15">
      <c r="N945" s="4"/>
      <c r="O945" s="4"/>
    </row>
    <row r="946" spans="14:15">
      <c r="N946" s="4"/>
      <c r="O946" s="4"/>
    </row>
    <row r="947" spans="14:15">
      <c r="N947" s="4"/>
      <c r="O947" s="4"/>
    </row>
    <row r="948" spans="14:15">
      <c r="N948" s="4"/>
      <c r="O948" s="4"/>
    </row>
    <row r="949" spans="14:15">
      <c r="N949" s="4"/>
      <c r="O949" s="4"/>
    </row>
    <row r="950" spans="14:15">
      <c r="N950" s="4"/>
      <c r="O950" s="4"/>
    </row>
    <row r="951" spans="14:15">
      <c r="N951" s="4"/>
      <c r="O951" s="4"/>
    </row>
    <row r="952" spans="14:15">
      <c r="N952" s="4"/>
      <c r="O952" s="4"/>
    </row>
    <row r="953" spans="14:15">
      <c r="N953" s="4"/>
      <c r="O953" s="4"/>
    </row>
    <row r="954" spans="14:15">
      <c r="N954" s="4"/>
      <c r="O954" s="4"/>
    </row>
    <row r="955" spans="14:15">
      <c r="N955" s="4"/>
      <c r="O955" s="4"/>
    </row>
    <row r="956" spans="14:15">
      <c r="N956" s="4"/>
      <c r="O956" s="4"/>
    </row>
    <row r="957" spans="14:15">
      <c r="N957" s="4"/>
      <c r="O957" s="4"/>
    </row>
    <row r="958" spans="14:15">
      <c r="N958" s="4"/>
      <c r="O958" s="4"/>
    </row>
    <row r="959" spans="14:15">
      <c r="N959" s="4"/>
      <c r="O959" s="4"/>
    </row>
    <row r="960" spans="14:15">
      <c r="N960" s="4"/>
      <c r="O960" s="4"/>
    </row>
    <row r="961" spans="14:15">
      <c r="N961" s="4"/>
      <c r="O961" s="4"/>
    </row>
    <row r="962" spans="14:15">
      <c r="N962" s="4"/>
      <c r="O962" s="4"/>
    </row>
    <row r="963" spans="14:15">
      <c r="N963" s="4"/>
      <c r="O963" s="4"/>
    </row>
    <row r="964" spans="14:15">
      <c r="N964" s="4"/>
      <c r="O964" s="4"/>
    </row>
    <row r="965" spans="14:15">
      <c r="N965" s="4"/>
      <c r="O965" s="4"/>
    </row>
    <row r="966" spans="14:15">
      <c r="N966" s="4"/>
      <c r="O966" s="4"/>
    </row>
    <row r="967" spans="14:15">
      <c r="N967" s="4"/>
      <c r="O967" s="4"/>
    </row>
    <row r="968" spans="14:15">
      <c r="N968" s="4"/>
      <c r="O968" s="4"/>
    </row>
    <row r="969" spans="14:15">
      <c r="N969" s="4"/>
      <c r="O969" s="4"/>
    </row>
    <row r="970" spans="14:15">
      <c r="N970" s="4"/>
      <c r="O970" s="4"/>
    </row>
    <row r="971" spans="14:15">
      <c r="N971" s="4"/>
      <c r="O971" s="4"/>
    </row>
    <row r="972" spans="14:15">
      <c r="N972" s="4"/>
      <c r="O972" s="4"/>
    </row>
    <row r="973" spans="14:15">
      <c r="N973" s="4"/>
      <c r="O973" s="4"/>
    </row>
    <row r="974" spans="14:15">
      <c r="N974" s="4"/>
      <c r="O974" s="4"/>
    </row>
    <row r="975" spans="14:15">
      <c r="N975" s="4"/>
      <c r="O975" s="4"/>
    </row>
    <row r="976" spans="14:15">
      <c r="N976" s="4"/>
      <c r="O976" s="4"/>
    </row>
    <row r="977" spans="14:15">
      <c r="N977" s="4"/>
      <c r="O977" s="4"/>
    </row>
    <row r="978" spans="14:15">
      <c r="N978" s="4"/>
      <c r="O978" s="4"/>
    </row>
    <row r="979" spans="14:15">
      <c r="N979" s="4"/>
      <c r="O979" s="4"/>
    </row>
    <row r="980" spans="14:15">
      <c r="N980" s="4"/>
      <c r="O980" s="4"/>
    </row>
    <row r="981" spans="14:15">
      <c r="N981" s="4"/>
      <c r="O981" s="4"/>
    </row>
    <row r="982" spans="14:15">
      <c r="N982" s="4"/>
      <c r="O982" s="4"/>
    </row>
    <row r="983" spans="14:15">
      <c r="N983" s="4"/>
      <c r="O983" s="4"/>
    </row>
    <row r="984" spans="14:15">
      <c r="N984" s="4"/>
      <c r="O984" s="4"/>
    </row>
    <row r="985" spans="14:15">
      <c r="N985" s="4"/>
      <c r="O985" s="4"/>
    </row>
    <row r="986" spans="14:15">
      <c r="N986" s="4"/>
      <c r="O986" s="4"/>
    </row>
    <row r="987" spans="14:15">
      <c r="N987" s="4"/>
      <c r="O987" s="4"/>
    </row>
    <row r="988" spans="14:15">
      <c r="N988" s="4"/>
      <c r="O988" s="4"/>
    </row>
    <row r="989" spans="14:15">
      <c r="N989" s="4"/>
      <c r="O989" s="4"/>
    </row>
    <row r="990" spans="14:15">
      <c r="N990" s="4"/>
      <c r="O990" s="4"/>
    </row>
    <row r="991" spans="14:15">
      <c r="N991" s="4"/>
      <c r="O991" s="4"/>
    </row>
    <row r="992" spans="14:15">
      <c r="N992" s="4"/>
      <c r="O992" s="4"/>
    </row>
    <row r="993" spans="14:15">
      <c r="N993" s="4"/>
      <c r="O993" s="4"/>
    </row>
    <row r="994" spans="14:15">
      <c r="N994" s="4"/>
      <c r="O994" s="4"/>
    </row>
    <row r="995" spans="14:15">
      <c r="N995" s="4"/>
      <c r="O995" s="4"/>
    </row>
    <row r="996" spans="14:15">
      <c r="N996" s="4"/>
      <c r="O996" s="4"/>
    </row>
    <row r="997" spans="14:15">
      <c r="N997" s="4"/>
      <c r="O997" s="4"/>
    </row>
    <row r="998" spans="14:15">
      <c r="N998" s="4"/>
      <c r="O998" s="4"/>
    </row>
    <row r="999" spans="14:15">
      <c r="N999" s="4"/>
      <c r="O999" s="4"/>
    </row>
    <row r="1000" spans="14:15">
      <c r="N1000" s="4"/>
      <c r="O1000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</cp:lastModifiedBy>
  <dcterms:modified xsi:type="dcterms:W3CDTF">2025-12-22T22:27:16Z</dcterms:modified>
</cp:coreProperties>
</file>